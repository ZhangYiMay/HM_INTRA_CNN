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drawings/drawing3.xml" ContentType="application/vnd.openxmlformats-officedocument.drawingml.chartshapes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drawings/drawing5.xml" ContentType="application/vnd.openxmlformats-officedocument.drawingml.chartshapes+xml"/>
  <Override PartName="/xl/charts/chart9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Grade2-Research\CNNBasedIntraPrediction\HM-16.0-SRCNN\性能表\"/>
    </mc:Choice>
  </mc:AlternateContent>
  <bookViews>
    <workbookView xWindow="0" yWindow="0" windowWidth="9855" windowHeight="6360" tabRatio="586" firstSheet="2" activeTab="2"/>
  </bookViews>
  <sheets>
    <sheet name="Summary (A-E)" sheetId="25" r:id="rId1"/>
    <sheet name="Summary (Full)" sheetId="16" r:id="rId2"/>
    <sheet name="AI-Main" sheetId="1" r:id="rId3"/>
    <sheet name="RA-Main" sheetId="17" r:id="rId4"/>
    <sheet name="LB-Main" sheetId="18" r:id="rId5"/>
    <sheet name="LP-Main" sheetId="19" r:id="rId6"/>
    <sheet name="AI-HE10" sheetId="20" r:id="rId7"/>
    <sheet name="RA-HE10" sheetId="21" r:id="rId8"/>
    <sheet name="LB-HE10" sheetId="22" r:id="rId9"/>
    <sheet name="LP-HE10" sheetId="23" r:id="rId10"/>
    <sheet name="Plot" sheetId="10" r:id="rId11"/>
  </sheets>
  <functionGroups builtInGroupCount="18"/>
  <externalReferences>
    <externalReference r:id="rId12"/>
  </externalReferences>
  <definedNames>
    <definedName name="_xlnm._FilterDatabase" localSheetId="10" hidden="1">Plot!$A$1:$B$2</definedName>
  </definedNames>
  <calcPr calcId="152511"/>
</workbook>
</file>

<file path=xl/calcChain.xml><?xml version="1.0" encoding="utf-8"?>
<calcChain xmlns="http://schemas.openxmlformats.org/spreadsheetml/2006/main">
  <c r="Z67" i="1" l="1"/>
  <c r="Z3" i="1"/>
  <c r="Z4" i="1"/>
  <c r="Z5" i="1"/>
  <c r="Z6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7" i="1"/>
  <c r="U27" i="1"/>
  <c r="Q113" i="23" l="1"/>
  <c r="T115" i="23" s="1"/>
  <c r="F52" i="25" s="1"/>
  <c r="I113" i="23"/>
  <c r="Q114" i="23"/>
  <c r="I114" i="23"/>
  <c r="Q107" i="23"/>
  <c r="T109" i="23" s="1"/>
  <c r="F52" i="16" s="1"/>
  <c r="I107" i="23"/>
  <c r="Q108" i="23"/>
  <c r="I108" i="23"/>
  <c r="I114" i="1"/>
  <c r="I113" i="1"/>
  <c r="I108" i="1"/>
  <c r="I107" i="1"/>
  <c r="I114" i="17"/>
  <c r="I113" i="17"/>
  <c r="I108" i="17"/>
  <c r="I107" i="17"/>
  <c r="Q113" i="17"/>
  <c r="T115" i="17" s="1"/>
  <c r="C26" i="25" s="1"/>
  <c r="Q107" i="17"/>
  <c r="Q114" i="17"/>
  <c r="Q108" i="17"/>
  <c r="Q113" i="22"/>
  <c r="I113" i="22"/>
  <c r="Q114" i="22"/>
  <c r="I114" i="22"/>
  <c r="Q107" i="22"/>
  <c r="I107" i="22"/>
  <c r="Q108" i="22"/>
  <c r="I108" i="22"/>
  <c r="Q113" i="21"/>
  <c r="I113" i="21"/>
  <c r="Q114" i="21"/>
  <c r="I114" i="21"/>
  <c r="Q107" i="21"/>
  <c r="I107" i="21"/>
  <c r="Q108" i="21"/>
  <c r="I108" i="21"/>
  <c r="Q113" i="20"/>
  <c r="I113" i="20"/>
  <c r="Q114" i="20"/>
  <c r="I114" i="20"/>
  <c r="Q107" i="20"/>
  <c r="I107" i="20"/>
  <c r="Q108" i="20"/>
  <c r="I108" i="20"/>
  <c r="Q113" i="19"/>
  <c r="I113" i="19"/>
  <c r="Q114" i="19"/>
  <c r="I114" i="19"/>
  <c r="Q107" i="19"/>
  <c r="T109" i="19" s="1"/>
  <c r="C52" i="16" s="1"/>
  <c r="I107" i="19"/>
  <c r="Q108" i="19"/>
  <c r="I108" i="19"/>
  <c r="Q113" i="18"/>
  <c r="I113" i="18"/>
  <c r="Q114" i="18"/>
  <c r="I114" i="18"/>
  <c r="Q107" i="18"/>
  <c r="I107" i="18"/>
  <c r="Q108" i="18"/>
  <c r="I108" i="18"/>
  <c r="Q113" i="1"/>
  <c r="Q114" i="1"/>
  <c r="L1" i="23"/>
  <c r="D1" i="23"/>
  <c r="L1" i="22"/>
  <c r="D1" i="22"/>
  <c r="L1" i="21"/>
  <c r="D1" i="21"/>
  <c r="L1" i="20"/>
  <c r="D1" i="20"/>
  <c r="L1" i="19"/>
  <c r="D1" i="19"/>
  <c r="L1" i="18"/>
  <c r="D1" i="18"/>
  <c r="L1" i="17"/>
  <c r="D1" i="17"/>
  <c r="L1" i="1"/>
  <c r="D1" i="1"/>
  <c r="K3" i="16"/>
  <c r="K2" i="16"/>
  <c r="Q108" i="1"/>
  <c r="Q107" i="1"/>
  <c r="AC3" i="10"/>
  <c r="AC4" i="10" s="1"/>
  <c r="AC5" i="10" s="1"/>
  <c r="AC6" i="10" s="1"/>
  <c r="AD8" i="10"/>
  <c r="T43" i="23"/>
  <c r="Y67" i="17"/>
  <c r="X83" i="23"/>
  <c r="U7" i="17"/>
  <c r="X87" i="23"/>
  <c r="X27" i="23"/>
  <c r="X3" i="17"/>
  <c r="W47" i="17"/>
  <c r="T87" i="20"/>
  <c r="T83" i="22"/>
  <c r="W63" i="23"/>
  <c r="U83" i="17"/>
  <c r="T51" i="23"/>
  <c r="Y87" i="17"/>
  <c r="T55" i="23"/>
  <c r="U79" i="23"/>
  <c r="U51" i="23"/>
  <c r="V19" i="22"/>
  <c r="V55" i="17"/>
  <c r="W71" i="23"/>
  <c r="U91" i="17"/>
  <c r="W67" i="23"/>
  <c r="X91" i="23"/>
  <c r="U63" i="17"/>
  <c r="Y75" i="23"/>
  <c r="T35" i="17"/>
  <c r="Y39" i="22"/>
  <c r="U87" i="23"/>
  <c r="V47" i="17"/>
  <c r="U95" i="23"/>
  <c r="X51" i="23"/>
  <c r="X55" i="23"/>
  <c r="W7" i="17"/>
  <c r="Y59" i="17"/>
  <c r="T31" i="17"/>
  <c r="X35" i="17"/>
  <c r="T35" i="22"/>
  <c r="T79" i="22"/>
  <c r="T35" i="21"/>
  <c r="W75" i="23"/>
  <c r="X47" i="17"/>
  <c r="U87" i="20"/>
  <c r="X75" i="22"/>
  <c r="V31" i="22"/>
  <c r="V71" i="23"/>
  <c r="U19" i="17"/>
  <c r="W55" i="22"/>
  <c r="V19" i="23"/>
  <c r="V23" i="23"/>
  <c r="T67" i="17"/>
  <c r="Y19" i="17"/>
  <c r="T63" i="17"/>
  <c r="T75" i="22"/>
  <c r="U91" i="20"/>
  <c r="Y63" i="23"/>
  <c r="V51" i="23"/>
  <c r="W67" i="17"/>
  <c r="V55" i="23"/>
  <c r="W79" i="23"/>
  <c r="Y87" i="23"/>
  <c r="T39" i="17"/>
  <c r="X79" i="23"/>
  <c r="Y23" i="17"/>
  <c r="X19" i="22"/>
  <c r="U31" i="23"/>
  <c r="T47" i="17"/>
  <c r="Y71" i="23"/>
  <c r="Y67" i="23"/>
  <c r="U27" i="17"/>
  <c r="U71" i="22"/>
  <c r="X43" i="23"/>
  <c r="X51" i="17"/>
  <c r="U39" i="23"/>
  <c r="T55" i="17"/>
  <c r="U35" i="23"/>
  <c r="V59" i="23"/>
  <c r="U23" i="23"/>
  <c r="V7" i="17"/>
  <c r="W83" i="23"/>
  <c r="V35" i="17"/>
  <c r="X83" i="22"/>
  <c r="W43" i="17"/>
  <c r="X31" i="23"/>
  <c r="V31" i="23"/>
  <c r="X63" i="17"/>
  <c r="V95" i="20"/>
  <c r="W23" i="22"/>
  <c r="V35" i="23"/>
  <c r="Y55" i="23"/>
  <c r="U35" i="17"/>
  <c r="Y91" i="21"/>
  <c r="Y91" i="22"/>
  <c r="Y19" i="21"/>
  <c r="U55" i="23"/>
  <c r="T71" i="23"/>
  <c r="W63" i="17"/>
  <c r="V91" i="22"/>
  <c r="T43" i="17"/>
  <c r="U63" i="22"/>
  <c r="W51" i="17"/>
  <c r="W23" i="23"/>
  <c r="Y51" i="23"/>
  <c r="U87" i="17"/>
  <c r="X39" i="21"/>
  <c r="W31" i="23"/>
  <c r="U39" i="17"/>
  <c r="T19" i="23"/>
  <c r="Y43" i="17"/>
  <c r="T23" i="23"/>
  <c r="U47" i="23"/>
  <c r="V95" i="23"/>
  <c r="Y11" i="17"/>
  <c r="W71" i="22"/>
  <c r="T75" i="23"/>
  <c r="V23" i="17"/>
  <c r="W39" i="23"/>
  <c r="U47" i="17"/>
  <c r="W35" i="23"/>
  <c r="X59" i="23"/>
  <c r="X87" i="17"/>
  <c r="Y27" i="23"/>
  <c r="W91" i="17"/>
  <c r="V87" i="20"/>
  <c r="W95" i="23"/>
  <c r="W27" i="17"/>
  <c r="T83" i="23"/>
  <c r="V31" i="17"/>
  <c r="T87" i="23"/>
  <c r="T27" i="23"/>
  <c r="U91" i="23"/>
  <c r="V51" i="22"/>
  <c r="T35" i="23"/>
  <c r="V83" i="17"/>
  <c r="T95" i="23"/>
  <c r="T3" i="17"/>
  <c r="U31" i="22"/>
  <c r="Y35" i="17"/>
  <c r="X59" i="17"/>
  <c r="V79" i="23"/>
  <c r="Y7" i="17"/>
  <c r="T15" i="17"/>
  <c r="W59" i="22"/>
  <c r="W19" i="21"/>
  <c r="X15" i="21"/>
  <c r="V39" i="17"/>
  <c r="V19" i="17"/>
  <c r="V91" i="20"/>
  <c r="W11" i="17"/>
  <c r="W35" i="17"/>
  <c r="X39" i="23"/>
  <c r="Y71" i="22"/>
  <c r="U59" i="23"/>
  <c r="Y63" i="17"/>
  <c r="Y55" i="22"/>
  <c r="W91" i="22"/>
  <c r="U39" i="22"/>
  <c r="X19" i="17"/>
  <c r="Y27" i="17"/>
  <c r="U63" i="23"/>
  <c r="X19" i="23"/>
  <c r="X23" i="23"/>
  <c r="U59" i="17"/>
  <c r="X71" i="23"/>
  <c r="Y91" i="17"/>
  <c r="Y31" i="23"/>
  <c r="X47" i="22"/>
  <c r="W51" i="21"/>
  <c r="T15" i="21"/>
  <c r="V43" i="23"/>
  <c r="T59" i="23"/>
  <c r="X39" i="17"/>
  <c r="T83" i="17"/>
  <c r="U55" i="17"/>
  <c r="U79" i="22"/>
  <c r="T47" i="22"/>
  <c r="U95" i="21"/>
  <c r="U51" i="21"/>
  <c r="U83" i="23"/>
  <c r="X11" i="17"/>
  <c r="Y79" i="22"/>
  <c r="W43" i="22"/>
  <c r="T79" i="23"/>
  <c r="X43" i="22"/>
  <c r="U71" i="23"/>
  <c r="Y23" i="23"/>
  <c r="X35" i="22"/>
  <c r="W75" i="22"/>
  <c r="X91" i="22"/>
  <c r="T47" i="23"/>
  <c r="X51" i="21"/>
  <c r="Y83" i="20"/>
  <c r="U75" i="19"/>
  <c r="V63" i="18"/>
  <c r="X59" i="21"/>
  <c r="Y3" i="17"/>
  <c r="T11" i="17"/>
  <c r="W87" i="22"/>
  <c r="V59" i="22"/>
  <c r="Y19" i="22"/>
  <c r="X47" i="21"/>
  <c r="W59" i="21"/>
  <c r="X63" i="20"/>
  <c r="T63" i="19"/>
  <c r="U43" i="18"/>
  <c r="V75" i="23"/>
  <c r="Y39" i="23"/>
  <c r="Y35" i="23"/>
  <c r="T91" i="23"/>
  <c r="X83" i="17"/>
  <c r="T23" i="17"/>
  <c r="W43" i="23"/>
  <c r="X51" i="22"/>
  <c r="W19" i="17"/>
  <c r="T51" i="22"/>
  <c r="V67" i="21"/>
  <c r="U59" i="22"/>
  <c r="U19" i="21"/>
  <c r="X67" i="23"/>
  <c r="X23" i="17"/>
  <c r="Y47" i="21"/>
  <c r="Y59" i="22"/>
  <c r="W95" i="17"/>
  <c r="V43" i="22"/>
  <c r="Y31" i="21"/>
  <c r="U23" i="22"/>
  <c r="Y39" i="21"/>
  <c r="U67" i="23"/>
  <c r="Y27" i="22"/>
  <c r="U55" i="22"/>
  <c r="Y63" i="21"/>
  <c r="U95" i="20"/>
  <c r="T27" i="22"/>
  <c r="Y83" i="21"/>
  <c r="Y83" i="22"/>
  <c r="W55" i="17"/>
  <c r="V59" i="21"/>
  <c r="W35" i="20"/>
  <c r="T15" i="20"/>
  <c r="T31" i="18"/>
  <c r="T19" i="17"/>
  <c r="V87" i="21"/>
  <c r="Y95" i="22"/>
  <c r="V47" i="22"/>
  <c r="T59" i="22"/>
  <c r="V59" i="17"/>
  <c r="V3" i="17"/>
  <c r="X71" i="22"/>
  <c r="U67" i="21"/>
  <c r="V7" i="20"/>
  <c r="Y75" i="19"/>
  <c r="T7" i="17"/>
  <c r="V83" i="23"/>
  <c r="V87" i="23"/>
  <c r="W55" i="23"/>
  <c r="Y55" i="17"/>
  <c r="Y47" i="23"/>
  <c r="T19" i="22"/>
  <c r="Y79" i="23"/>
  <c r="W63" i="22"/>
  <c r="U27" i="22"/>
  <c r="Y43" i="23"/>
  <c r="W47" i="23"/>
  <c r="V27" i="22"/>
  <c r="Y51" i="21"/>
  <c r="V63" i="17"/>
  <c r="T63" i="23"/>
  <c r="V83" i="22"/>
  <c r="Y59" i="23"/>
  <c r="X59" i="22"/>
  <c r="V79" i="22"/>
  <c r="V35" i="21"/>
  <c r="X75" i="23"/>
  <c r="X35" i="23"/>
  <c r="Y91" i="23"/>
  <c r="W23" i="17"/>
  <c r="Y43" i="22"/>
  <c r="W27" i="23"/>
  <c r="W83" i="17"/>
  <c r="U11" i="17"/>
  <c r="Y7" i="21"/>
  <c r="W19" i="23"/>
  <c r="T27" i="17"/>
  <c r="Y75" i="22"/>
  <c r="W91" i="23"/>
  <c r="T95" i="17"/>
  <c r="W87" i="23"/>
  <c r="V75" i="22"/>
  <c r="U19" i="22"/>
  <c r="T63" i="20"/>
  <c r="V31" i="19"/>
  <c r="X95" i="18"/>
  <c r="U47" i="22"/>
  <c r="U35" i="22"/>
  <c r="W39" i="22"/>
  <c r="T39" i="23"/>
  <c r="W95" i="21"/>
  <c r="U27" i="23"/>
  <c r="Y39" i="17"/>
  <c r="Y31" i="22"/>
  <c r="T91" i="20"/>
  <c r="X95" i="22"/>
  <c r="T31" i="23"/>
  <c r="V51" i="17"/>
  <c r="Y87" i="22"/>
  <c r="W59" i="17"/>
  <c r="W51" i="23"/>
  <c r="V95" i="17"/>
  <c r="X67" i="21"/>
  <c r="X67" i="17"/>
  <c r="W15" i="17"/>
  <c r="V79" i="20"/>
  <c r="Y43" i="18"/>
  <c r="X47" i="23"/>
  <c r="T95" i="18"/>
  <c r="X55" i="21"/>
  <c r="Y35" i="22"/>
  <c r="V63" i="23"/>
  <c r="X67" i="22"/>
  <c r="W47" i="21"/>
  <c r="V55" i="22"/>
  <c r="T95" i="21"/>
  <c r="U3" i="20"/>
  <c r="X71" i="19"/>
  <c r="Y51" i="18"/>
  <c r="X3" i="21"/>
  <c r="U55" i="20"/>
  <c r="W31" i="19"/>
  <c r="Y67" i="22"/>
  <c r="U51" i="20"/>
  <c r="T91" i="17"/>
  <c r="X43" i="17"/>
  <c r="U31" i="17"/>
  <c r="T51" i="17"/>
  <c r="V67" i="22"/>
  <c r="V87" i="17"/>
  <c r="X55" i="17"/>
  <c r="Y87" i="21"/>
  <c r="W31" i="17"/>
  <c r="Y3" i="21"/>
  <c r="Y19" i="20"/>
  <c r="W7" i="21"/>
  <c r="Y23" i="22"/>
  <c r="X87" i="22"/>
  <c r="U3" i="17"/>
  <c r="W3" i="21"/>
  <c r="X31" i="20"/>
  <c r="X63" i="23"/>
  <c r="T87" i="17"/>
  <c r="X31" i="22"/>
  <c r="Y51" i="22"/>
  <c r="V19" i="21"/>
  <c r="X95" i="20"/>
  <c r="X91" i="17"/>
  <c r="T71" i="20"/>
  <c r="V39" i="19"/>
  <c r="W19" i="18"/>
  <c r="V7" i="21"/>
  <c r="U83" i="22"/>
  <c r="V15" i="21"/>
  <c r="X79" i="22"/>
  <c r="U95" i="22"/>
  <c r="W59" i="23"/>
  <c r="T71" i="22"/>
  <c r="U43" i="19"/>
  <c r="V31" i="18"/>
  <c r="Y67" i="21"/>
  <c r="X71" i="20"/>
  <c r="T71" i="19"/>
  <c r="U51" i="18"/>
  <c r="T63" i="21"/>
  <c r="W23" i="20"/>
  <c r="V11" i="20"/>
  <c r="U43" i="17"/>
  <c r="W95" i="22"/>
  <c r="U75" i="22"/>
  <c r="Y95" i="23"/>
  <c r="V67" i="17"/>
  <c r="Y47" i="22"/>
  <c r="V91" i="23"/>
  <c r="X15" i="17"/>
  <c r="Y95" i="17"/>
  <c r="Y19" i="23"/>
  <c r="U51" i="17"/>
  <c r="T31" i="22"/>
  <c r="V95" i="19"/>
  <c r="W75" i="18"/>
  <c r="V43" i="17"/>
  <c r="W67" i="21"/>
  <c r="U67" i="17"/>
  <c r="U83" i="20"/>
  <c r="T31" i="19"/>
  <c r="V95" i="18"/>
  <c r="Y23" i="21"/>
  <c r="X95" i="17"/>
  <c r="X19" i="21"/>
  <c r="Y47" i="17"/>
  <c r="X31" i="17"/>
  <c r="X15" i="20"/>
  <c r="T95" i="19"/>
  <c r="U75" i="18"/>
  <c r="V27" i="21"/>
  <c r="W43" i="20"/>
  <c r="Y19" i="19"/>
  <c r="T39" i="18"/>
  <c r="W87" i="20"/>
  <c r="Y63" i="19"/>
  <c r="V11" i="17"/>
  <c r="U43" i="21"/>
  <c r="W83" i="20"/>
  <c r="V67" i="23"/>
  <c r="T67" i="22"/>
  <c r="Y59" i="21"/>
  <c r="Y51" i="20"/>
  <c r="V39" i="23"/>
  <c r="T87" i="22"/>
  <c r="U75" i="20"/>
  <c r="W51" i="19"/>
  <c r="X39" i="18"/>
  <c r="W23" i="21"/>
  <c r="T11" i="21"/>
  <c r="T43" i="20"/>
  <c r="W95" i="19"/>
  <c r="W79" i="22"/>
  <c r="V87" i="22"/>
  <c r="T91" i="22"/>
  <c r="W11" i="21"/>
  <c r="V71" i="19"/>
  <c r="W51" i="18"/>
  <c r="Y83" i="23"/>
  <c r="T55" i="22"/>
  <c r="T3" i="21"/>
  <c r="Y27" i="19"/>
  <c r="T47" i="18"/>
  <c r="T67" i="21"/>
  <c r="W27" i="22"/>
  <c r="X7" i="17"/>
  <c r="U67" i="20"/>
  <c r="Y75" i="18"/>
  <c r="V23" i="22"/>
  <c r="X63" i="18"/>
  <c r="Y91" i="20"/>
  <c r="X43" i="20"/>
  <c r="Y55" i="21"/>
  <c r="X47" i="20"/>
  <c r="X31" i="21"/>
  <c r="V47" i="20"/>
  <c r="Y27" i="20"/>
  <c r="V91" i="21"/>
  <c r="Y71" i="20"/>
  <c r="T71" i="18"/>
  <c r="Y39" i="20"/>
  <c r="Y95" i="19"/>
  <c r="T47" i="20"/>
  <c r="X79" i="19"/>
  <c r="V79" i="18"/>
  <c r="V95" i="22"/>
  <c r="X39" i="20"/>
  <c r="T31" i="21"/>
  <c r="X75" i="20"/>
  <c r="U15" i="17"/>
  <c r="Y35" i="21"/>
  <c r="U19" i="20"/>
  <c r="U27" i="19"/>
  <c r="W91" i="18"/>
  <c r="U95" i="17"/>
  <c r="Y47" i="19"/>
  <c r="W35" i="19"/>
  <c r="U91" i="21"/>
  <c r="T67" i="20"/>
  <c r="X95" i="23"/>
  <c r="U35" i="19"/>
  <c r="T55" i="21"/>
  <c r="Y47" i="20"/>
  <c r="W15" i="21"/>
  <c r="W27" i="21"/>
  <c r="W3" i="20"/>
  <c r="W55" i="20"/>
  <c r="Y31" i="19"/>
  <c r="Y95" i="21"/>
  <c r="T7" i="20"/>
  <c r="U59" i="19"/>
  <c r="V47" i="18"/>
  <c r="U27" i="21"/>
  <c r="X83" i="21"/>
  <c r="V83" i="18"/>
  <c r="U31" i="21"/>
  <c r="Y7" i="20"/>
  <c r="Y15" i="17"/>
  <c r="T7" i="21"/>
  <c r="Y63" i="20"/>
  <c r="T59" i="19"/>
  <c r="Y35" i="19"/>
  <c r="T43" i="22"/>
  <c r="X87" i="19"/>
  <c r="T51" i="19"/>
  <c r="Y55" i="20"/>
  <c r="V39" i="20"/>
  <c r="W87" i="19"/>
  <c r="T43" i="21"/>
  <c r="W87" i="21"/>
  <c r="T47" i="19"/>
  <c r="T23" i="21"/>
  <c r="V83" i="19"/>
  <c r="T55" i="19"/>
  <c r="V11" i="21"/>
  <c r="U7" i="20"/>
  <c r="Y23" i="19"/>
  <c r="V3" i="21"/>
  <c r="U71" i="20"/>
  <c r="Y79" i="19"/>
  <c r="Y63" i="18"/>
  <c r="X35" i="18"/>
  <c r="V67" i="18"/>
  <c r="U79" i="19"/>
  <c r="V55" i="19"/>
  <c r="W3" i="17"/>
  <c r="T67" i="23"/>
  <c r="W51" i="22"/>
  <c r="V47" i="23"/>
  <c r="V39" i="22"/>
  <c r="W43" i="19"/>
  <c r="T39" i="22"/>
  <c r="U43" i="23"/>
  <c r="W31" i="22"/>
  <c r="V71" i="18"/>
  <c r="X23" i="21"/>
  <c r="U87" i="21"/>
  <c r="V23" i="20"/>
  <c r="Y83" i="19"/>
  <c r="V59" i="20"/>
  <c r="X43" i="19"/>
  <c r="U35" i="21"/>
  <c r="Y51" i="19"/>
  <c r="V47" i="21"/>
  <c r="V27" i="20"/>
  <c r="V47" i="19"/>
  <c r="X27" i="21"/>
  <c r="Y51" i="17"/>
  <c r="V63" i="19"/>
  <c r="U43" i="20"/>
  <c r="W19" i="19"/>
  <c r="Y83" i="18"/>
  <c r="X11" i="21"/>
  <c r="T3" i="20"/>
  <c r="W63" i="19"/>
  <c r="W35" i="22"/>
  <c r="V43" i="21"/>
  <c r="T79" i="19"/>
  <c r="U59" i="18"/>
  <c r="W27" i="20"/>
  <c r="Y15" i="21"/>
  <c r="Y79" i="20"/>
  <c r="W55" i="19"/>
  <c r="X51" i="18"/>
  <c r="X27" i="19"/>
  <c r="Y43" i="20"/>
  <c r="Y23" i="20"/>
  <c r="W15" i="20"/>
  <c r="X83" i="19"/>
  <c r="X23" i="20"/>
  <c r="T11" i="20"/>
  <c r="X67" i="18"/>
  <c r="T83" i="20"/>
  <c r="Y87" i="20"/>
  <c r="Y83" i="17"/>
  <c r="T39" i="20"/>
  <c r="W83" i="19"/>
  <c r="X71" i="18"/>
  <c r="T75" i="20"/>
  <c r="U43" i="22"/>
  <c r="V95" i="21"/>
  <c r="U91" i="18"/>
  <c r="V71" i="20"/>
  <c r="Y35" i="18"/>
  <c r="X27" i="20"/>
  <c r="V91" i="17"/>
  <c r="W27" i="19"/>
  <c r="W83" i="21"/>
  <c r="V67" i="20"/>
  <c r="V19" i="19"/>
  <c r="T83" i="18"/>
  <c r="Y67" i="19"/>
  <c r="W47" i="20"/>
  <c r="W67" i="19"/>
  <c r="V3" i="20"/>
  <c r="V55" i="21"/>
  <c r="Y31" i="18"/>
  <c r="U63" i="21"/>
  <c r="X3" i="20"/>
  <c r="V39" i="21"/>
  <c r="X7" i="21"/>
  <c r="W39" i="21"/>
  <c r="Y55" i="19"/>
  <c r="T35" i="18"/>
  <c r="W39" i="17"/>
  <c r="V55" i="20"/>
  <c r="U23" i="20"/>
  <c r="T55" i="20"/>
  <c r="Y71" i="18"/>
  <c r="W79" i="19"/>
  <c r="X55" i="18"/>
  <c r="V43" i="19"/>
  <c r="U47" i="20"/>
  <c r="V35" i="18"/>
  <c r="U55" i="18"/>
  <c r="V27" i="18"/>
  <c r="X35" i="20"/>
  <c r="W35" i="18"/>
  <c r="X43" i="21"/>
  <c r="V75" i="20"/>
  <c r="X27" i="17"/>
  <c r="V15" i="17"/>
  <c r="X63" i="19"/>
  <c r="W83" i="22"/>
  <c r="X95" i="19"/>
  <c r="V27" i="17"/>
  <c r="V71" i="22"/>
  <c r="W75" i="19"/>
  <c r="U83" i="19"/>
  <c r="T95" i="20"/>
  <c r="W75" i="20"/>
  <c r="V31" i="20"/>
  <c r="W27" i="18"/>
  <c r="V35" i="22"/>
  <c r="Y11" i="21"/>
  <c r="X63" i="21"/>
  <c r="Y63" i="22"/>
  <c r="W19" i="20"/>
  <c r="W59" i="19"/>
  <c r="X47" i="18"/>
  <c r="W31" i="21"/>
  <c r="V51" i="21"/>
  <c r="U7" i="21"/>
  <c r="U79" i="20"/>
  <c r="T83" i="19"/>
  <c r="U71" i="18"/>
  <c r="X91" i="21"/>
  <c r="V43" i="20"/>
  <c r="U87" i="19"/>
  <c r="Y43" i="21"/>
  <c r="V31" i="21"/>
  <c r="U31" i="20"/>
  <c r="T43" i="19"/>
  <c r="T91" i="18"/>
  <c r="W71" i="19"/>
  <c r="V91" i="18"/>
  <c r="W55" i="21"/>
  <c r="U87" i="22"/>
  <c r="W51" i="20"/>
  <c r="W91" i="19"/>
  <c r="X79" i="18"/>
  <c r="W63" i="21"/>
  <c r="T59" i="21"/>
  <c r="X55" i="19"/>
  <c r="U55" i="21"/>
  <c r="T51" i="20"/>
  <c r="V63" i="22"/>
  <c r="X79" i="20"/>
  <c r="Y91" i="18"/>
  <c r="X83" i="18"/>
  <c r="Y3" i="20"/>
  <c r="U35" i="18"/>
  <c r="X11" i="20"/>
  <c r="U23" i="19"/>
  <c r="X87" i="20"/>
  <c r="U63" i="19"/>
  <c r="U87" i="18"/>
  <c r="T59" i="18"/>
  <c r="X83" i="20"/>
  <c r="U79" i="18"/>
  <c r="T59" i="20"/>
  <c r="T27" i="18"/>
  <c r="Y59" i="20"/>
  <c r="X35" i="21"/>
  <c r="U15" i="20"/>
  <c r="T47" i="21"/>
  <c r="Y23" i="18"/>
  <c r="V59" i="18"/>
  <c r="Y43" i="19"/>
  <c r="Y19" i="18"/>
  <c r="X87" i="18"/>
  <c r="X67" i="20"/>
  <c r="X51" i="19"/>
  <c r="T19" i="18"/>
  <c r="Y95" i="20"/>
  <c r="W67" i="22"/>
  <c r="X59" i="20"/>
  <c r="T23" i="19"/>
  <c r="T55" i="18"/>
  <c r="T27" i="19"/>
  <c r="Y67" i="18"/>
  <c r="V27" i="19"/>
  <c r="U23" i="18"/>
  <c r="W63" i="18"/>
  <c r="U63" i="18"/>
  <c r="T31" i="20"/>
  <c r="W19" i="22"/>
  <c r="W47" i="22"/>
  <c r="Y35" i="20"/>
  <c r="T23" i="18"/>
  <c r="U39" i="19"/>
  <c r="X75" i="18"/>
  <c r="W11" i="20"/>
  <c r="Y67" i="20"/>
  <c r="Y27" i="18"/>
  <c r="W31" i="18"/>
  <c r="W95" i="18"/>
  <c r="W59" i="18"/>
  <c r="T79" i="20"/>
  <c r="V83" i="21"/>
  <c r="X95" i="21"/>
  <c r="U47" i="19"/>
  <c r="Y15" i="20"/>
  <c r="U27" i="20"/>
  <c r="U31" i="18"/>
  <c r="X55" i="20"/>
  <c r="U55" i="19"/>
  <c r="X19" i="20"/>
  <c r="V83" i="20"/>
  <c r="U51" i="19"/>
  <c r="T79" i="18"/>
  <c r="U67" i="19"/>
  <c r="V51" i="18"/>
  <c r="V63" i="21"/>
  <c r="T67" i="19"/>
  <c r="X27" i="22"/>
  <c r="Y11" i="20"/>
  <c r="U47" i="21"/>
  <c r="V91" i="19"/>
  <c r="T91" i="19"/>
  <c r="Y47" i="18"/>
  <c r="Y87" i="18"/>
  <c r="U39" i="20"/>
  <c r="W79" i="18"/>
  <c r="T67" i="18"/>
  <c r="V63" i="20"/>
  <c r="W43" i="18"/>
  <c r="V19" i="18"/>
  <c r="W59" i="20"/>
  <c r="U83" i="18"/>
  <c r="V19" i="20"/>
  <c r="T27" i="20"/>
  <c r="W79" i="20"/>
  <c r="W67" i="20"/>
  <c r="W71" i="18"/>
  <c r="X19" i="19"/>
  <c r="T83" i="21"/>
  <c r="W43" i="21"/>
  <c r="Y71" i="19"/>
  <c r="X27" i="18"/>
  <c r="W47" i="18"/>
  <c r="V79" i="19"/>
  <c r="W95" i="20"/>
  <c r="U91" i="22"/>
  <c r="X55" i="22"/>
  <c r="U35" i="20"/>
  <c r="W35" i="21"/>
  <c r="T27" i="21"/>
  <c r="U91" i="19"/>
  <c r="U67" i="22"/>
  <c r="T39" i="19"/>
  <c r="V15" i="20"/>
  <c r="X23" i="22"/>
  <c r="X51" i="20"/>
  <c r="T63" i="22"/>
  <c r="W7" i="20"/>
  <c r="T59" i="17"/>
  <c r="W47" i="19"/>
  <c r="Y31" i="20"/>
  <c r="X39" i="22"/>
  <c r="U27" i="18"/>
  <c r="W91" i="20"/>
  <c r="T35" i="19"/>
  <c r="W55" i="18"/>
  <c r="T75" i="18"/>
  <c r="Y87" i="19"/>
  <c r="V87" i="19"/>
  <c r="T87" i="19"/>
  <c r="V51" i="20"/>
  <c r="T43" i="18"/>
  <c r="T19" i="20"/>
  <c r="V59" i="19"/>
  <c r="V39" i="18"/>
  <c r="Y59" i="19"/>
  <c r="V55" i="18"/>
  <c r="W31" i="20"/>
  <c r="X91" i="19"/>
  <c r="T51" i="18"/>
  <c r="T23" i="22"/>
  <c r="X91" i="20"/>
  <c r="X23" i="19"/>
  <c r="W63" i="20"/>
  <c r="V87" i="18"/>
  <c r="U23" i="21"/>
  <c r="V27" i="23"/>
  <c r="X31" i="18"/>
  <c r="X31" i="19"/>
  <c r="U19" i="19"/>
  <c r="U19" i="23"/>
  <c r="X87" i="21"/>
  <c r="U19" i="18"/>
  <c r="Y91" i="19"/>
  <c r="U59" i="20"/>
  <c r="W23" i="19"/>
  <c r="V23" i="19"/>
  <c r="T87" i="18"/>
  <c r="Y95" i="18"/>
  <c r="U71" i="19"/>
  <c r="U63" i="20"/>
  <c r="T19" i="21"/>
  <c r="T35" i="20"/>
  <c r="U39" i="21"/>
  <c r="V51" i="19"/>
  <c r="X63" i="22"/>
  <c r="T87" i="21"/>
  <c r="Y27" i="21"/>
  <c r="U83" i="21"/>
  <c r="W87" i="17"/>
  <c r="W83" i="18"/>
  <c r="T95" i="22"/>
  <c r="X7" i="20"/>
  <c r="U11" i="20"/>
  <c r="X23" i="18"/>
  <c r="V35" i="19"/>
  <c r="V23" i="18"/>
  <c r="V75" i="19"/>
  <c r="V75" i="18"/>
  <c r="T19" i="19"/>
  <c r="U59" i="21"/>
  <c r="X67" i="19"/>
  <c r="W87" i="18"/>
  <c r="X59" i="18"/>
  <c r="X75" i="19"/>
  <c r="T23" i="20"/>
  <c r="T75" i="19"/>
  <c r="T39" i="21"/>
  <c r="U39" i="18"/>
  <c r="U15" i="21"/>
  <c r="U95" i="19"/>
  <c r="Y79" i="18"/>
  <c r="X43" i="18"/>
  <c r="X19" i="18"/>
  <c r="W67" i="18"/>
  <c r="V67" i="19"/>
  <c r="U67" i="18"/>
  <c r="U31" i="19"/>
  <c r="U47" i="18"/>
  <c r="Y31" i="17"/>
  <c r="U95" i="18"/>
  <c r="V35" i="20"/>
  <c r="U75" i="23"/>
  <c r="U11" i="21"/>
  <c r="W39" i="19"/>
  <c r="W39" i="20"/>
  <c r="V43" i="18"/>
  <c r="U51" i="22"/>
  <c r="Y75" i="20"/>
  <c r="W39" i="18"/>
  <c r="Y55" i="18"/>
  <c r="Y39" i="19"/>
  <c r="X59" i="19"/>
  <c r="Y59" i="18"/>
  <c r="W71" i="20"/>
  <c r="T63" i="18"/>
  <c r="X47" i="19"/>
  <c r="W91" i="21"/>
  <c r="Y39" i="18"/>
  <c r="T91" i="21"/>
  <c r="X39" i="19"/>
  <c r="V23" i="21"/>
  <c r="X91" i="18"/>
  <c r="U3" i="21"/>
  <c r="W23" i="18"/>
  <c r="T51" i="21"/>
  <c r="X35" i="19"/>
  <c r="U23" i="17"/>
  <c r="U3" i="1"/>
  <c r="T11" i="1"/>
  <c r="V15" i="1"/>
  <c r="U11" i="1"/>
  <c r="U15" i="1"/>
  <c r="U7" i="1"/>
  <c r="V7" i="1"/>
  <c r="V3" i="1"/>
  <c r="T15" i="1"/>
  <c r="T3" i="1"/>
  <c r="T7" i="1"/>
  <c r="V11" i="1"/>
  <c r="T109" i="1" l="1"/>
  <c r="C13" i="16" s="1"/>
  <c r="T109" i="17"/>
  <c r="C26" i="16" s="1"/>
  <c r="T115" i="19"/>
  <c r="C52" i="25" s="1"/>
  <c r="T109" i="20"/>
  <c r="F13" i="16" s="1"/>
  <c r="T115" i="20"/>
  <c r="F13" i="25" s="1"/>
  <c r="T109" i="21"/>
  <c r="F26" i="16" s="1"/>
  <c r="T115" i="21"/>
  <c r="F26" i="25" s="1"/>
  <c r="T109" i="22"/>
  <c r="F39" i="16" s="1"/>
  <c r="T109" i="18"/>
  <c r="C39" i="16" s="1"/>
  <c r="T115" i="18"/>
  <c r="C39" i="25" s="1"/>
  <c r="T115" i="1"/>
  <c r="C13" i="25" s="1"/>
  <c r="T115" i="22"/>
  <c r="F39" i="25" s="1"/>
  <c r="R113" i="1"/>
  <c r="R107" i="1"/>
  <c r="R114" i="1"/>
  <c r="R108" i="1"/>
  <c r="J114" i="1"/>
  <c r="J113" i="1"/>
  <c r="J108" i="1"/>
  <c r="J107" i="1"/>
  <c r="T105" i="18"/>
  <c r="T112" i="18"/>
  <c r="C35" i="25" s="1"/>
  <c r="T106" i="18"/>
  <c r="C36" i="16" s="1"/>
  <c r="T101" i="18"/>
  <c r="U104" i="18"/>
  <c r="U103" i="18"/>
  <c r="U102" i="18"/>
  <c r="V105" i="18"/>
  <c r="V112" i="18"/>
  <c r="E35" i="25" s="1"/>
  <c r="V106" i="18"/>
  <c r="E36" i="16" s="1"/>
  <c r="V101" i="18"/>
  <c r="W104" i="18"/>
  <c r="W103" i="18"/>
  <c r="W102" i="18"/>
  <c r="X105" i="18"/>
  <c r="X112" i="18"/>
  <c r="D36" i="25" s="1"/>
  <c r="X106" i="18"/>
  <c r="D37" i="16" s="1"/>
  <c r="X101" i="18"/>
  <c r="Y104" i="18"/>
  <c r="Y103" i="18"/>
  <c r="Y102" i="18"/>
  <c r="T105" i="19"/>
  <c r="T112" i="19"/>
  <c r="C48" i="25" s="1"/>
  <c r="T106" i="19"/>
  <c r="C49" i="16" s="1"/>
  <c r="T101" i="19"/>
  <c r="U104" i="19"/>
  <c r="U103" i="19"/>
  <c r="U102" i="19"/>
  <c r="V105" i="19"/>
  <c r="V112" i="19"/>
  <c r="E48" i="25" s="1"/>
  <c r="V106" i="19"/>
  <c r="E49" i="16" s="1"/>
  <c r="V101" i="19"/>
  <c r="W104" i="19"/>
  <c r="W103" i="19"/>
  <c r="W102" i="19"/>
  <c r="X105" i="19"/>
  <c r="X112" i="19"/>
  <c r="D49" i="25" s="1"/>
  <c r="X106" i="19"/>
  <c r="D50" i="16" s="1"/>
  <c r="X101" i="19"/>
  <c r="Y104" i="19"/>
  <c r="Y103" i="19"/>
  <c r="Y102" i="19"/>
  <c r="T101" i="20"/>
  <c r="T112" i="20"/>
  <c r="F9" i="25" s="1"/>
  <c r="T106" i="20"/>
  <c r="F10" i="16" s="1"/>
  <c r="T100" i="20"/>
  <c r="F4" i="25" s="1"/>
  <c r="T99" i="20"/>
  <c r="F4" i="16" s="1"/>
  <c r="U104" i="20"/>
  <c r="U103" i="20"/>
  <c r="U102" i="20"/>
  <c r="V101" i="20"/>
  <c r="V112" i="20"/>
  <c r="H9" i="25" s="1"/>
  <c r="V106" i="20"/>
  <c r="H10" i="16" s="1"/>
  <c r="V100" i="20"/>
  <c r="H4" i="25" s="1"/>
  <c r="V99" i="20"/>
  <c r="H4" i="16" s="1"/>
  <c r="W104" i="20"/>
  <c r="W103" i="20"/>
  <c r="W102" i="20"/>
  <c r="X105" i="20"/>
  <c r="X101" i="20"/>
  <c r="X112" i="20"/>
  <c r="G10" i="25" s="1"/>
  <c r="X106" i="20"/>
  <c r="G11" i="16" s="1"/>
  <c r="X100" i="20"/>
  <c r="X99" i="20"/>
  <c r="Y104" i="20"/>
  <c r="Y103" i="20"/>
  <c r="Y102" i="20"/>
  <c r="T105" i="21"/>
  <c r="T103" i="21"/>
  <c r="T102" i="21"/>
  <c r="U105" i="21"/>
  <c r="U103" i="21"/>
  <c r="U102" i="21"/>
  <c r="V105" i="21"/>
  <c r="V103" i="21"/>
  <c r="V102" i="21"/>
  <c r="W105" i="21"/>
  <c r="W103" i="21"/>
  <c r="W102" i="21"/>
  <c r="X105" i="21"/>
  <c r="X103" i="21"/>
  <c r="X112" i="21"/>
  <c r="G23" i="25" s="1"/>
  <c r="X106" i="21"/>
  <c r="G24" i="16" s="1"/>
  <c r="X99" i="21"/>
  <c r="X100" i="21"/>
  <c r="T104" i="18"/>
  <c r="T103" i="18"/>
  <c r="T102" i="18"/>
  <c r="U105" i="18"/>
  <c r="U112" i="18"/>
  <c r="D35" i="25" s="1"/>
  <c r="U106" i="18"/>
  <c r="D36" i="16" s="1"/>
  <c r="U101" i="18"/>
  <c r="V104" i="18"/>
  <c r="V103" i="18"/>
  <c r="V102" i="18"/>
  <c r="W105" i="18"/>
  <c r="W112" i="18"/>
  <c r="C36" i="25" s="1"/>
  <c r="W106" i="18"/>
  <c r="C37" i="16" s="1"/>
  <c r="W101" i="18"/>
  <c r="X104" i="18"/>
  <c r="X103" i="18"/>
  <c r="X102" i="18"/>
  <c r="Y105" i="18"/>
  <c r="Y112" i="18"/>
  <c r="E36" i="25" s="1"/>
  <c r="Y106" i="18"/>
  <c r="E37" i="16" s="1"/>
  <c r="Y101" i="18"/>
  <c r="T104" i="19"/>
  <c r="T103" i="19"/>
  <c r="T102" i="19"/>
  <c r="U105" i="19"/>
  <c r="U112" i="19"/>
  <c r="D48" i="25" s="1"/>
  <c r="U106" i="19"/>
  <c r="D49" i="16" s="1"/>
  <c r="U101" i="19"/>
  <c r="V104" i="19"/>
  <c r="V103" i="19"/>
  <c r="V102" i="19"/>
  <c r="W105" i="19"/>
  <c r="W112" i="19"/>
  <c r="C49" i="25" s="1"/>
  <c r="W106" i="19"/>
  <c r="C50" i="16" s="1"/>
  <c r="W101" i="19"/>
  <c r="X104" i="19"/>
  <c r="X103" i="19"/>
  <c r="X102" i="19"/>
  <c r="Y105" i="19"/>
  <c r="Y112" i="19"/>
  <c r="E49" i="25" s="1"/>
  <c r="Y106" i="19"/>
  <c r="E50" i="16" s="1"/>
  <c r="Y101" i="19"/>
  <c r="T104" i="20"/>
  <c r="T103" i="20"/>
  <c r="T102" i="20"/>
  <c r="U101" i="20"/>
  <c r="U112" i="20"/>
  <c r="G9" i="25" s="1"/>
  <c r="U106" i="20"/>
  <c r="G10" i="16" s="1"/>
  <c r="U100" i="20"/>
  <c r="G4" i="25" s="1"/>
  <c r="U99" i="20"/>
  <c r="G4" i="16" s="1"/>
  <c r="V104" i="20"/>
  <c r="V103" i="20"/>
  <c r="V102" i="20"/>
  <c r="W105" i="20"/>
  <c r="W101" i="20"/>
  <c r="W112" i="20"/>
  <c r="F10" i="25" s="1"/>
  <c r="W106" i="20"/>
  <c r="F11" i="16" s="1"/>
  <c r="W99" i="20"/>
  <c r="W100" i="20"/>
  <c r="X104" i="20"/>
  <c r="X103" i="20"/>
  <c r="X102" i="20"/>
  <c r="Y105" i="20"/>
  <c r="Y101" i="20"/>
  <c r="Y112" i="20"/>
  <c r="H10" i="25" s="1"/>
  <c r="Y106" i="20"/>
  <c r="H11" i="16" s="1"/>
  <c r="Y99" i="20"/>
  <c r="Y100" i="20"/>
  <c r="T101" i="21"/>
  <c r="T112" i="21"/>
  <c r="F22" i="25" s="1"/>
  <c r="T106" i="21"/>
  <c r="F23" i="16" s="1"/>
  <c r="T100" i="21"/>
  <c r="F17" i="25" s="1"/>
  <c r="T99" i="21"/>
  <c r="F17" i="16" s="1"/>
  <c r="U101" i="21"/>
  <c r="U106" i="21"/>
  <c r="G23" i="16" s="1"/>
  <c r="U112" i="21"/>
  <c r="G22" i="25" s="1"/>
  <c r="U100" i="21"/>
  <c r="G17" i="25" s="1"/>
  <c r="U99" i="21"/>
  <c r="G17" i="16" s="1"/>
  <c r="V101" i="21"/>
  <c r="V112" i="21"/>
  <c r="H22" i="25" s="1"/>
  <c r="V106" i="21"/>
  <c r="H23" i="16" s="1"/>
  <c r="V100" i="21"/>
  <c r="H17" i="25" s="1"/>
  <c r="V99" i="21"/>
  <c r="H17" i="16" s="1"/>
  <c r="W101" i="21"/>
  <c r="W106" i="21"/>
  <c r="F24" i="16" s="1"/>
  <c r="W112" i="21"/>
  <c r="F23" i="25" s="1"/>
  <c r="W100" i="21"/>
  <c r="W99" i="21"/>
  <c r="X101" i="21"/>
  <c r="Y101" i="21"/>
  <c r="Y112" i="21"/>
  <c r="H23" i="25" s="1"/>
  <c r="Y106" i="21"/>
  <c r="H24" i="16" s="1"/>
  <c r="Y100" i="21"/>
  <c r="Y99" i="21"/>
  <c r="T104" i="22"/>
  <c r="T103" i="22"/>
  <c r="T102" i="22"/>
  <c r="U105" i="22"/>
  <c r="U112" i="22"/>
  <c r="G35" i="25" s="1"/>
  <c r="U106" i="22"/>
  <c r="G36" i="16" s="1"/>
  <c r="U101" i="22"/>
  <c r="V104" i="22"/>
  <c r="V103" i="22"/>
  <c r="V102" i="22"/>
  <c r="W105" i="22"/>
  <c r="W112" i="22"/>
  <c r="F36" i="25" s="1"/>
  <c r="W106" i="22"/>
  <c r="F37" i="16" s="1"/>
  <c r="W101" i="22"/>
  <c r="X104" i="22"/>
  <c r="X103" i="22"/>
  <c r="X102" i="22"/>
  <c r="Y105" i="22"/>
  <c r="Y112" i="22"/>
  <c r="H36" i="25" s="1"/>
  <c r="Y106" i="22"/>
  <c r="H37" i="16" s="1"/>
  <c r="Y101" i="22"/>
  <c r="V105" i="20"/>
  <c r="U105" i="20"/>
  <c r="T105" i="20"/>
  <c r="V112" i="17"/>
  <c r="E22" i="25" s="1"/>
  <c r="V106" i="17"/>
  <c r="E23" i="16" s="1"/>
  <c r="V100" i="17"/>
  <c r="E17" i="25" s="1"/>
  <c r="V99" i="17"/>
  <c r="E17" i="16" s="1"/>
  <c r="X102" i="21"/>
  <c r="Y105" i="21"/>
  <c r="Y103" i="21"/>
  <c r="Y102" i="21"/>
  <c r="T105" i="22"/>
  <c r="T112" i="22"/>
  <c r="F35" i="25" s="1"/>
  <c r="T106" i="22"/>
  <c r="F36" i="16" s="1"/>
  <c r="T101" i="22"/>
  <c r="U104" i="22"/>
  <c r="U103" i="22"/>
  <c r="U102" i="22"/>
  <c r="V105" i="22"/>
  <c r="V112" i="22"/>
  <c r="H35" i="25" s="1"/>
  <c r="V106" i="22"/>
  <c r="H36" i="16" s="1"/>
  <c r="V101" i="22"/>
  <c r="W104" i="22"/>
  <c r="W103" i="22"/>
  <c r="W102" i="22"/>
  <c r="X105" i="22"/>
  <c r="X112" i="22"/>
  <c r="G36" i="25" s="1"/>
  <c r="X106" i="22"/>
  <c r="G37" i="16" s="1"/>
  <c r="X101" i="22"/>
  <c r="Y104" i="22"/>
  <c r="Y103" i="22"/>
  <c r="Y102" i="22"/>
  <c r="V101" i="17"/>
  <c r="Y105" i="17"/>
  <c r="Y103" i="17"/>
  <c r="Y102" i="17"/>
  <c r="T101" i="17"/>
  <c r="T112" i="17"/>
  <c r="C22" i="25" s="1"/>
  <c r="T106" i="17"/>
  <c r="C23" i="16" s="1"/>
  <c r="T100" i="17"/>
  <c r="C17" i="25" s="1"/>
  <c r="T99" i="17"/>
  <c r="C17" i="16" s="1"/>
  <c r="W105" i="17"/>
  <c r="W103" i="17"/>
  <c r="W102" i="17"/>
  <c r="U101" i="17"/>
  <c r="U112" i="17"/>
  <c r="D22" i="25" s="1"/>
  <c r="U106" i="17"/>
  <c r="D23" i="16" s="1"/>
  <c r="U100" i="17"/>
  <c r="D17" i="25" s="1"/>
  <c r="U99" i="17"/>
  <c r="D17" i="16" s="1"/>
  <c r="X105" i="17"/>
  <c r="X103" i="17"/>
  <c r="X102" i="17"/>
  <c r="T104" i="23"/>
  <c r="T103" i="23"/>
  <c r="T102" i="23"/>
  <c r="U105" i="23"/>
  <c r="U112" i="23"/>
  <c r="G48" i="25" s="1"/>
  <c r="U106" i="23"/>
  <c r="G49" i="16" s="1"/>
  <c r="U101" i="23"/>
  <c r="V104" i="23"/>
  <c r="V103" i="23"/>
  <c r="V102" i="23"/>
  <c r="W105" i="23"/>
  <c r="W112" i="23"/>
  <c r="F49" i="25" s="1"/>
  <c r="W106" i="23"/>
  <c r="F50" i="16" s="1"/>
  <c r="W101" i="23"/>
  <c r="X104" i="23"/>
  <c r="X103" i="23"/>
  <c r="X102" i="23"/>
  <c r="Y105" i="23"/>
  <c r="Y112" i="23"/>
  <c r="H49" i="25" s="1"/>
  <c r="Y106" i="23"/>
  <c r="H50" i="16" s="1"/>
  <c r="Y101" i="23"/>
  <c r="V105" i="17"/>
  <c r="V103" i="17"/>
  <c r="V102" i="17"/>
  <c r="Y101" i="17"/>
  <c r="Y112" i="17"/>
  <c r="E23" i="25" s="1"/>
  <c r="Y106" i="17"/>
  <c r="E24" i="16" s="1"/>
  <c r="Y100" i="17"/>
  <c r="Y99" i="17"/>
  <c r="T105" i="17"/>
  <c r="T103" i="17"/>
  <c r="T102" i="17"/>
  <c r="W101" i="17"/>
  <c r="W112" i="17"/>
  <c r="C23" i="25" s="1"/>
  <c r="W106" i="17"/>
  <c r="C24" i="16" s="1"/>
  <c r="W100" i="17"/>
  <c r="W99" i="17"/>
  <c r="U105" i="17"/>
  <c r="U103" i="17"/>
  <c r="U102" i="17"/>
  <c r="X101" i="17"/>
  <c r="X112" i="17"/>
  <c r="D23" i="25" s="1"/>
  <c r="X106" i="17"/>
  <c r="D24" i="16" s="1"/>
  <c r="X99" i="17"/>
  <c r="X100" i="17"/>
  <c r="T105" i="23"/>
  <c r="T112" i="23"/>
  <c r="F48" i="25" s="1"/>
  <c r="T106" i="23"/>
  <c r="F49" i="16" s="1"/>
  <c r="T101" i="23"/>
  <c r="U104" i="23"/>
  <c r="U103" i="23"/>
  <c r="U102" i="23"/>
  <c r="V105" i="23"/>
  <c r="V112" i="23"/>
  <c r="H48" i="25" s="1"/>
  <c r="V106" i="23"/>
  <c r="H49" i="16" s="1"/>
  <c r="V101" i="23"/>
  <c r="W104" i="23"/>
  <c r="W103" i="23"/>
  <c r="W102" i="23"/>
  <c r="X105" i="23"/>
  <c r="X112" i="23"/>
  <c r="G49" i="25" s="1"/>
  <c r="X106" i="23"/>
  <c r="G50" i="16" s="1"/>
  <c r="X101" i="23"/>
  <c r="Y104" i="23"/>
  <c r="Y103" i="23"/>
  <c r="Y102" i="23"/>
  <c r="H50" i="25" l="1"/>
  <c r="H48" i="16"/>
  <c r="G46" i="25"/>
  <c r="G46" i="16"/>
  <c r="F44" i="25"/>
  <c r="F44" i="16"/>
  <c r="D20" i="25"/>
  <c r="D20" i="16"/>
  <c r="C20" i="16"/>
  <c r="C20" i="25"/>
  <c r="E20" i="16"/>
  <c r="E20" i="25"/>
  <c r="H46" i="25"/>
  <c r="H46" i="16"/>
  <c r="G44" i="25"/>
  <c r="G44" i="16"/>
  <c r="F45" i="16"/>
  <c r="F45" i="25"/>
  <c r="F47" i="16"/>
  <c r="F47" i="25"/>
  <c r="D18" i="25"/>
  <c r="D18" i="16"/>
  <c r="C18" i="16"/>
  <c r="C18" i="25"/>
  <c r="E18" i="16"/>
  <c r="E18" i="25"/>
  <c r="H37" i="25"/>
  <c r="H35" i="16"/>
  <c r="G33" i="25"/>
  <c r="G33" i="16"/>
  <c r="F31" i="25"/>
  <c r="F31" i="16"/>
  <c r="G11" i="25"/>
  <c r="G9" i="16"/>
  <c r="H33" i="25"/>
  <c r="H33" i="16"/>
  <c r="G31" i="25"/>
  <c r="G31" i="16"/>
  <c r="F32" i="25"/>
  <c r="F32" i="16"/>
  <c r="F34" i="25"/>
  <c r="F34" i="16"/>
  <c r="H18" i="16"/>
  <c r="H18" i="25"/>
  <c r="F18" i="25"/>
  <c r="F18" i="16"/>
  <c r="H6" i="25"/>
  <c r="H6" i="16"/>
  <c r="H8" i="25"/>
  <c r="H8" i="16"/>
  <c r="F6" i="25"/>
  <c r="F6" i="16"/>
  <c r="F8" i="25"/>
  <c r="F8" i="16"/>
  <c r="E45" i="25"/>
  <c r="E45" i="16"/>
  <c r="E47" i="25"/>
  <c r="E47" i="16"/>
  <c r="D50" i="25"/>
  <c r="D48" i="16"/>
  <c r="C46" i="25"/>
  <c r="C46" i="16"/>
  <c r="E33" i="25"/>
  <c r="E33" i="16"/>
  <c r="D31" i="25"/>
  <c r="D31" i="16"/>
  <c r="C32" i="25"/>
  <c r="C32" i="16"/>
  <c r="C34" i="25"/>
  <c r="C34" i="16"/>
  <c r="H19" i="25"/>
  <c r="H19" i="16"/>
  <c r="H24" i="25"/>
  <c r="H22" i="16"/>
  <c r="G20" i="16"/>
  <c r="G20" i="25"/>
  <c r="F19" i="25"/>
  <c r="F19" i="16"/>
  <c r="F24" i="25"/>
  <c r="F22" i="16"/>
  <c r="G6" i="25"/>
  <c r="G6" i="16"/>
  <c r="G8" i="25"/>
  <c r="G8" i="16"/>
  <c r="E44" i="25"/>
  <c r="E44" i="16"/>
  <c r="D45" i="16"/>
  <c r="D45" i="25"/>
  <c r="D47" i="16"/>
  <c r="D47" i="25"/>
  <c r="C50" i="25"/>
  <c r="C48" i="16"/>
  <c r="E37" i="25"/>
  <c r="E35" i="16"/>
  <c r="D33" i="25"/>
  <c r="D33" i="16"/>
  <c r="C31" i="25"/>
  <c r="C31" i="16"/>
  <c r="U109" i="1"/>
  <c r="C12" i="16" s="1"/>
  <c r="H44" i="25"/>
  <c r="H44" i="16"/>
  <c r="G45" i="25"/>
  <c r="G45" i="16"/>
  <c r="G47" i="25"/>
  <c r="G47" i="16"/>
  <c r="F50" i="25"/>
  <c r="F48" i="16"/>
  <c r="D19" i="25"/>
  <c r="D19" i="16"/>
  <c r="D24" i="25"/>
  <c r="D22" i="16"/>
  <c r="C19" i="16"/>
  <c r="C19" i="25"/>
  <c r="C22" i="16"/>
  <c r="C24" i="25"/>
  <c r="E19" i="16"/>
  <c r="E19" i="25"/>
  <c r="E22" i="16"/>
  <c r="E24" i="25"/>
  <c r="H45" i="16"/>
  <c r="H45" i="25"/>
  <c r="H47" i="16"/>
  <c r="H47" i="25"/>
  <c r="G50" i="25"/>
  <c r="G48" i="16"/>
  <c r="F46" i="25"/>
  <c r="F46" i="16"/>
  <c r="H31" i="25"/>
  <c r="H31" i="16"/>
  <c r="G32" i="25"/>
  <c r="G32" i="16"/>
  <c r="G34" i="25"/>
  <c r="G34" i="16"/>
  <c r="F37" i="25"/>
  <c r="F35" i="16"/>
  <c r="F11" i="25"/>
  <c r="F9" i="16"/>
  <c r="H11" i="25"/>
  <c r="H9" i="16"/>
  <c r="H32" i="25"/>
  <c r="H32" i="16"/>
  <c r="H34" i="25"/>
  <c r="H34" i="16"/>
  <c r="G37" i="25"/>
  <c r="G35" i="16"/>
  <c r="F33" i="25"/>
  <c r="F33" i="16"/>
  <c r="G18" i="25"/>
  <c r="G18" i="16"/>
  <c r="H7" i="25"/>
  <c r="H7" i="16"/>
  <c r="G5" i="25"/>
  <c r="G5" i="16"/>
  <c r="F7" i="25"/>
  <c r="F7" i="16"/>
  <c r="E46" i="25"/>
  <c r="E46" i="16"/>
  <c r="D44" i="25"/>
  <c r="D44" i="16"/>
  <c r="C45" i="25"/>
  <c r="C45" i="16"/>
  <c r="C47" i="25"/>
  <c r="C47" i="16"/>
  <c r="E32" i="25"/>
  <c r="E32" i="16"/>
  <c r="E34" i="25"/>
  <c r="E34" i="16"/>
  <c r="D37" i="25"/>
  <c r="D35" i="16"/>
  <c r="C33" i="25"/>
  <c r="C33" i="16"/>
  <c r="H20" i="25"/>
  <c r="H20" i="16"/>
  <c r="G19" i="16"/>
  <c r="G19" i="25"/>
  <c r="G24" i="25"/>
  <c r="G22" i="16"/>
  <c r="F20" i="25"/>
  <c r="F20" i="16"/>
  <c r="H5" i="25"/>
  <c r="H5" i="16"/>
  <c r="G7" i="25"/>
  <c r="G7" i="16"/>
  <c r="F5" i="25"/>
  <c r="F5" i="16"/>
  <c r="E50" i="25"/>
  <c r="E48" i="16"/>
  <c r="D46" i="25"/>
  <c r="D46" i="16"/>
  <c r="C44" i="25"/>
  <c r="C44" i="16"/>
  <c r="E31" i="25"/>
  <c r="E31" i="16"/>
  <c r="D32" i="25"/>
  <c r="D32" i="16"/>
  <c r="D34" i="25"/>
  <c r="D34" i="16"/>
  <c r="C37" i="25"/>
  <c r="C35" i="16"/>
  <c r="U115" i="1"/>
  <c r="C12" i="25" s="1"/>
  <c r="R58" i="17"/>
  <c r="J21" i="19"/>
  <c r="J77" i="20"/>
  <c r="J83" i="23"/>
  <c r="R54" i="21"/>
  <c r="J20" i="18"/>
  <c r="J62" i="17"/>
  <c r="R20" i="17"/>
  <c r="R67" i="21"/>
  <c r="J58" i="21"/>
  <c r="J45" i="21"/>
  <c r="R5" i="20"/>
  <c r="J85" i="23"/>
  <c r="J84" i="21"/>
  <c r="J42" i="20"/>
  <c r="R58" i="19"/>
  <c r="J45" i="19"/>
  <c r="J59" i="20"/>
  <c r="R61" i="22"/>
  <c r="J66" i="23"/>
  <c r="R4" i="17"/>
  <c r="J9" i="17"/>
  <c r="R83" i="19"/>
  <c r="J37" i="23"/>
  <c r="R58" i="20"/>
  <c r="R96" i="20"/>
  <c r="J65" i="20"/>
  <c r="J65" i="21"/>
  <c r="J94" i="22"/>
  <c r="J52" i="19"/>
  <c r="J48" i="19"/>
  <c r="J11" i="20"/>
  <c r="R76" i="20"/>
  <c r="J40" i="21"/>
  <c r="J58" i="18"/>
  <c r="R43" i="19"/>
  <c r="R49" i="23"/>
  <c r="J92" i="21"/>
  <c r="J29" i="21"/>
  <c r="R54" i="20"/>
  <c r="R59" i="21"/>
  <c r="U79" i="1"/>
  <c r="R84" i="21"/>
  <c r="R96" i="23"/>
  <c r="R75" i="23"/>
  <c r="R13" i="20"/>
  <c r="R26" i="23"/>
  <c r="J3" i="20"/>
  <c r="R94" i="18"/>
  <c r="R46" i="20"/>
  <c r="R64" i="21"/>
  <c r="J82" i="18"/>
  <c r="R57" i="18"/>
  <c r="R25" i="22"/>
  <c r="R66" i="22"/>
  <c r="R67" i="23"/>
  <c r="R44" i="19"/>
  <c r="R71" i="20"/>
  <c r="R65" i="17"/>
  <c r="R34" i="18"/>
  <c r="R79" i="19"/>
  <c r="J27" i="20"/>
  <c r="R77" i="19"/>
  <c r="R67" i="18"/>
  <c r="J91" i="18"/>
  <c r="R23" i="21"/>
  <c r="J24" i="22"/>
  <c r="J94" i="23"/>
  <c r="J86" i="22"/>
  <c r="R73" i="19"/>
  <c r="R56" i="20"/>
  <c r="R17" i="17"/>
  <c r="R71" i="19"/>
  <c r="R85" i="18"/>
  <c r="R8" i="20"/>
  <c r="R83" i="21"/>
  <c r="J32" i="18"/>
  <c r="J59" i="18"/>
  <c r="R36" i="19"/>
  <c r="J37" i="22"/>
  <c r="R27" i="21"/>
  <c r="J61" i="18"/>
  <c r="J73" i="18"/>
  <c r="J74" i="23"/>
  <c r="R12" i="21"/>
  <c r="J44" i="23"/>
  <c r="R63" i="20"/>
  <c r="R89" i="20"/>
  <c r="R37" i="21"/>
  <c r="R61" i="19"/>
  <c r="J73" i="19"/>
  <c r="J71" i="19"/>
  <c r="R58" i="22"/>
  <c r="V67" i="1"/>
  <c r="J46" i="23"/>
  <c r="J28" i="21"/>
  <c r="J8" i="17"/>
  <c r="J19" i="19"/>
  <c r="J56" i="21"/>
  <c r="R93" i="19"/>
  <c r="R31" i="17"/>
  <c r="R5" i="17"/>
  <c r="J87" i="23"/>
  <c r="J49" i="19"/>
  <c r="J76" i="23"/>
  <c r="J39" i="19"/>
  <c r="J25" i="17"/>
  <c r="J18" i="21"/>
  <c r="J83" i="21"/>
  <c r="J92" i="23"/>
  <c r="J60" i="23"/>
  <c r="J88" i="20"/>
  <c r="R80" i="20"/>
  <c r="J74" i="19"/>
  <c r="J44" i="21"/>
  <c r="J79" i="23"/>
  <c r="R35" i="21"/>
  <c r="J96" i="22"/>
  <c r="R87" i="22"/>
  <c r="R92" i="22"/>
  <c r="J25" i="22"/>
  <c r="J68" i="20"/>
  <c r="J59" i="19"/>
  <c r="R59" i="22"/>
  <c r="R22" i="19"/>
  <c r="J52" i="22"/>
  <c r="R95" i="22"/>
  <c r="R95" i="19"/>
  <c r="J7" i="21"/>
  <c r="J95" i="19"/>
  <c r="J75" i="23"/>
  <c r="R51" i="20"/>
  <c r="J90" i="23"/>
  <c r="R38" i="21"/>
  <c r="R81" i="22"/>
  <c r="R49" i="22"/>
  <c r="R19" i="20"/>
  <c r="R39" i="18"/>
  <c r="R88" i="18"/>
  <c r="R24" i="22"/>
  <c r="J69" i="19"/>
  <c r="J19" i="20"/>
  <c r="R27" i="17"/>
  <c r="J33" i="21"/>
  <c r="J10" i="20"/>
  <c r="J86" i="18"/>
  <c r="R51" i="17"/>
  <c r="R82" i="22"/>
  <c r="R6" i="20"/>
  <c r="R27" i="18"/>
  <c r="J20" i="22"/>
  <c r="R63" i="21"/>
  <c r="R90" i="21"/>
  <c r="R70" i="21"/>
  <c r="R88" i="22"/>
  <c r="J58" i="19"/>
  <c r="R68" i="21"/>
  <c r="R62" i="23"/>
  <c r="J86" i="23"/>
  <c r="R40" i="22"/>
  <c r="J56" i="18"/>
  <c r="J46" i="18"/>
  <c r="R38" i="18"/>
  <c r="R23" i="22"/>
  <c r="J45" i="17"/>
  <c r="J33" i="22"/>
  <c r="J66" i="17"/>
  <c r="J50" i="21"/>
  <c r="R49" i="17"/>
  <c r="J49" i="20"/>
  <c r="R30" i="19"/>
  <c r="J15" i="17"/>
  <c r="R50" i="19"/>
  <c r="J21" i="22"/>
  <c r="R94" i="20"/>
  <c r="J53" i="19"/>
  <c r="J85" i="17"/>
  <c r="R59" i="18"/>
  <c r="R44" i="21"/>
  <c r="J71" i="22"/>
  <c r="R83" i="22"/>
  <c r="J91" i="23"/>
  <c r="J32" i="19"/>
  <c r="J36" i="19"/>
  <c r="R10" i="17"/>
  <c r="J40" i="20"/>
  <c r="R23" i="17"/>
  <c r="R29" i="17"/>
  <c r="J56" i="23"/>
  <c r="J9" i="21"/>
  <c r="J38" i="18"/>
  <c r="R28" i="19"/>
  <c r="R78" i="19"/>
  <c r="R42" i="23"/>
  <c r="R23" i="23"/>
  <c r="R49" i="21"/>
  <c r="R19" i="17"/>
  <c r="R40" i="21"/>
  <c r="J44" i="19"/>
  <c r="R73" i="20"/>
  <c r="R38" i="20"/>
  <c r="J69" i="22"/>
  <c r="J72" i="23"/>
  <c r="R59" i="20"/>
  <c r="R32" i="20"/>
  <c r="R28" i="23"/>
  <c r="J36" i="21"/>
  <c r="J58" i="20"/>
  <c r="J25" i="19"/>
  <c r="J19" i="21"/>
  <c r="R58" i="18"/>
  <c r="R30" i="21"/>
  <c r="R61" i="18"/>
  <c r="J86" i="20"/>
  <c r="J89" i="21"/>
  <c r="J62" i="23"/>
  <c r="R35" i="17"/>
  <c r="R29" i="22"/>
  <c r="J14" i="17"/>
  <c r="R34" i="23"/>
  <c r="R96" i="22"/>
  <c r="R71" i="22"/>
  <c r="R80" i="22"/>
  <c r="J87" i="22"/>
  <c r="J46" i="22"/>
  <c r="R27" i="22"/>
  <c r="R92" i="23"/>
  <c r="J92" i="22"/>
  <c r="R82" i="19"/>
  <c r="R35" i="20"/>
  <c r="R77" i="22"/>
  <c r="R25" i="20"/>
  <c r="R94" i="23"/>
  <c r="R3" i="20"/>
  <c r="V35" i="1"/>
  <c r="R12" i="17"/>
  <c r="J66" i="22"/>
  <c r="R28" i="20"/>
  <c r="J87" i="18"/>
  <c r="J29" i="17"/>
  <c r="R48" i="19"/>
  <c r="J66" i="19"/>
  <c r="R36" i="17"/>
  <c r="R42" i="18"/>
  <c r="J64" i="18"/>
  <c r="R91" i="18"/>
  <c r="J77" i="18"/>
  <c r="R61" i="17"/>
  <c r="J57" i="21"/>
  <c r="J82" i="22"/>
  <c r="R40" i="19"/>
  <c r="V47" i="1"/>
  <c r="J89" i="19"/>
  <c r="J33" i="17"/>
  <c r="R53" i="17"/>
  <c r="J41" i="18"/>
  <c r="R34" i="19"/>
  <c r="R58" i="23"/>
  <c r="J28" i="17"/>
  <c r="R74" i="22"/>
  <c r="R32" i="21"/>
  <c r="R21" i="19"/>
  <c r="J69" i="23"/>
  <c r="J47" i="19"/>
  <c r="J83" i="19"/>
  <c r="J86" i="19"/>
  <c r="R50" i="22"/>
  <c r="R56" i="19"/>
  <c r="R57" i="19"/>
  <c r="R20" i="21"/>
  <c r="R30" i="20"/>
  <c r="J95" i="20"/>
  <c r="R48" i="23"/>
  <c r="J31" i="22"/>
  <c r="J18" i="20"/>
  <c r="R19" i="22"/>
  <c r="J92" i="17"/>
  <c r="J49" i="22"/>
  <c r="J69" i="18"/>
  <c r="R11" i="20"/>
  <c r="R27" i="20"/>
  <c r="J31" i="18"/>
  <c r="J74" i="18"/>
  <c r="R94" i="22"/>
  <c r="J50" i="17"/>
  <c r="R93" i="17"/>
  <c r="R97" i="18"/>
  <c r="R95" i="18"/>
  <c r="R90" i="23"/>
  <c r="J11" i="21"/>
  <c r="R42" i="21"/>
  <c r="J31" i="17"/>
  <c r="J8" i="20"/>
  <c r="R83" i="18"/>
  <c r="J96" i="23"/>
  <c r="R9" i="21"/>
  <c r="J61" i="23"/>
  <c r="R65" i="22"/>
  <c r="J56" i="20"/>
  <c r="R36" i="22"/>
  <c r="J55" i="17"/>
  <c r="R89" i="23"/>
  <c r="J51" i="18"/>
  <c r="R19" i="23"/>
  <c r="R40" i="20"/>
  <c r="J16" i="21"/>
  <c r="R62" i="21"/>
  <c r="J32" i="21"/>
  <c r="J23" i="18"/>
  <c r="J12" i="20"/>
  <c r="J24" i="17"/>
  <c r="R22" i="18"/>
  <c r="J53" i="23"/>
  <c r="R36" i="18"/>
  <c r="R57" i="20"/>
  <c r="J36" i="17"/>
  <c r="R4" i="20"/>
  <c r="J48" i="17"/>
  <c r="R11" i="21"/>
  <c r="R98" i="21"/>
  <c r="R28" i="22"/>
  <c r="J74" i="20"/>
  <c r="R17" i="20"/>
  <c r="R53" i="22"/>
  <c r="R77" i="20"/>
  <c r="V43" i="1"/>
  <c r="R5" i="21"/>
  <c r="J94" i="18"/>
  <c r="J44" i="20"/>
  <c r="J93" i="23"/>
  <c r="R96" i="17"/>
  <c r="R60" i="21"/>
  <c r="R57" i="23"/>
  <c r="J38" i="20"/>
  <c r="J37" i="17"/>
  <c r="J66" i="21"/>
  <c r="R95" i="21"/>
  <c r="R92" i="21"/>
  <c r="R10" i="21"/>
  <c r="J39" i="22"/>
  <c r="R41" i="22"/>
  <c r="J92" i="19"/>
  <c r="R79" i="20"/>
  <c r="R43" i="21"/>
  <c r="U47" i="1"/>
  <c r="J57" i="17"/>
  <c r="R40" i="17"/>
  <c r="R53" i="19"/>
  <c r="R36" i="23"/>
  <c r="J10" i="17"/>
  <c r="R14" i="20"/>
  <c r="J60" i="21"/>
  <c r="R21" i="23"/>
  <c r="J54" i="22"/>
  <c r="J95" i="23"/>
  <c r="R55" i="17"/>
  <c r="R79" i="23"/>
  <c r="J13" i="20"/>
  <c r="J62" i="19"/>
  <c r="R81" i="18"/>
  <c r="R83" i="23"/>
  <c r="J37" i="20"/>
  <c r="R34" i="20"/>
  <c r="R71" i="23"/>
  <c r="T31" i="1"/>
  <c r="R94" i="17"/>
  <c r="R98" i="23"/>
  <c r="R86" i="19"/>
  <c r="R91" i="20"/>
  <c r="R14" i="21"/>
  <c r="T51" i="1"/>
  <c r="R62" i="18"/>
  <c r="J38" i="19"/>
  <c r="R33" i="17"/>
  <c r="J95" i="17"/>
  <c r="J90" i="22"/>
  <c r="R67" i="22"/>
  <c r="J69" i="17"/>
  <c r="J3" i="21"/>
  <c r="R54" i="17"/>
  <c r="J80" i="22"/>
  <c r="R29" i="21"/>
  <c r="J3" i="17"/>
  <c r="R84" i="23"/>
  <c r="R74" i="23"/>
  <c r="J40" i="22"/>
  <c r="R56" i="23"/>
  <c r="J54" i="20"/>
  <c r="J93" i="20"/>
  <c r="J22" i="23"/>
  <c r="J73" i="20"/>
  <c r="J26" i="18"/>
  <c r="R32" i="18"/>
  <c r="J68" i="21"/>
  <c r="J57" i="23"/>
  <c r="R86" i="21"/>
  <c r="J88" i="19"/>
  <c r="R62" i="17"/>
  <c r="J46" i="21"/>
  <c r="R53" i="18"/>
  <c r="R89" i="19"/>
  <c r="R74" i="20"/>
  <c r="J22" i="21"/>
  <c r="R90" i="18"/>
  <c r="R31" i="20"/>
  <c r="J34" i="23"/>
  <c r="J84" i="22"/>
  <c r="J54" i="21"/>
  <c r="J17" i="21"/>
  <c r="V71" i="1"/>
  <c r="R62" i="22"/>
  <c r="J86" i="21"/>
  <c r="J55" i="20"/>
  <c r="J23" i="21"/>
  <c r="R98" i="17"/>
  <c r="R33" i="20"/>
  <c r="J71" i="18"/>
  <c r="R8" i="17"/>
  <c r="J10" i="21"/>
  <c r="R66" i="18"/>
  <c r="J27" i="17"/>
  <c r="J30" i="21"/>
  <c r="R92" i="20"/>
  <c r="J61" i="22"/>
  <c r="R82" i="20"/>
  <c r="R60" i="18"/>
  <c r="J19" i="23"/>
  <c r="J23" i="17"/>
  <c r="J94" i="17"/>
  <c r="J80" i="23"/>
  <c r="R85" i="21"/>
  <c r="R23" i="20"/>
  <c r="R72" i="19"/>
  <c r="J87" i="21"/>
  <c r="J21" i="23"/>
  <c r="R73" i="23"/>
  <c r="R47" i="20"/>
  <c r="J54" i="17"/>
  <c r="R30" i="17"/>
  <c r="R6" i="17"/>
  <c r="R7" i="21"/>
  <c r="R13" i="17"/>
  <c r="J93" i="17"/>
  <c r="J20" i="23"/>
  <c r="R62" i="20"/>
  <c r="R35" i="22"/>
  <c r="J48" i="22"/>
  <c r="J60" i="17"/>
  <c r="J96" i="21"/>
  <c r="J22" i="22"/>
  <c r="R70" i="17"/>
  <c r="J64" i="20"/>
  <c r="J30" i="22"/>
  <c r="J85" i="21"/>
  <c r="J89" i="20"/>
  <c r="R96" i="19"/>
  <c r="J14" i="21"/>
  <c r="J68" i="22"/>
  <c r="R70" i="22"/>
  <c r="J85" i="19"/>
  <c r="R29" i="23"/>
  <c r="J24" i="23"/>
  <c r="U75" i="1"/>
  <c r="R56" i="17"/>
  <c r="R72" i="18"/>
  <c r="J87" i="17"/>
  <c r="R74" i="19"/>
  <c r="J90" i="18"/>
  <c r="V31" i="1"/>
  <c r="J39" i="18"/>
  <c r="J81" i="22"/>
  <c r="R55" i="20"/>
  <c r="R88" i="19"/>
  <c r="R90" i="17"/>
  <c r="J22" i="17"/>
  <c r="R63" i="18"/>
  <c r="R98" i="20"/>
  <c r="J71" i="20"/>
  <c r="R23" i="19"/>
  <c r="V27" i="1"/>
  <c r="J64" i="17"/>
  <c r="J59" i="21"/>
  <c r="R85" i="19"/>
  <c r="R89" i="22"/>
  <c r="J80" i="19"/>
  <c r="J40" i="18"/>
  <c r="J50" i="19"/>
  <c r="R6" i="21"/>
  <c r="J17" i="17"/>
  <c r="J77" i="19"/>
  <c r="J83" i="22"/>
  <c r="J53" i="22"/>
  <c r="R66" i="17"/>
  <c r="R24" i="20"/>
  <c r="R54" i="23"/>
  <c r="R14" i="17"/>
  <c r="J45" i="23"/>
  <c r="R72" i="23"/>
  <c r="R27" i="19"/>
  <c r="J63" i="18"/>
  <c r="R89" i="18"/>
  <c r="R78" i="20"/>
  <c r="J65" i="23"/>
  <c r="J97" i="22"/>
  <c r="R45" i="23"/>
  <c r="J78" i="19"/>
  <c r="J16" i="20"/>
  <c r="R98" i="22"/>
  <c r="R87" i="21"/>
  <c r="R21" i="17"/>
  <c r="J22" i="20"/>
  <c r="R64" i="19"/>
  <c r="R28" i="21"/>
  <c r="J45" i="20"/>
  <c r="J66" i="20"/>
  <c r="R46" i="22"/>
  <c r="R39" i="20"/>
  <c r="R90" i="19"/>
  <c r="J4" i="17"/>
  <c r="J53" i="17"/>
  <c r="J32" i="22"/>
  <c r="J35" i="20"/>
  <c r="J44" i="18"/>
  <c r="V79" i="1"/>
  <c r="R69" i="17"/>
  <c r="J42" i="18"/>
  <c r="R45" i="17"/>
  <c r="J94" i="20"/>
  <c r="R59" i="19"/>
  <c r="J51" i="21"/>
  <c r="R10" i="20"/>
  <c r="R32" i="22"/>
  <c r="R60" i="19"/>
  <c r="R88" i="23"/>
  <c r="R50" i="23"/>
  <c r="R20" i="22"/>
  <c r="R68" i="19"/>
  <c r="J11" i="17"/>
  <c r="J29" i="18"/>
  <c r="J63" i="23"/>
  <c r="R29" i="20"/>
  <c r="R40" i="18"/>
  <c r="R92" i="17"/>
  <c r="J34" i="18"/>
  <c r="R47" i="18"/>
  <c r="R76" i="18"/>
  <c r="R53" i="20"/>
  <c r="R15" i="17"/>
  <c r="J57" i="19"/>
  <c r="V51" i="1"/>
  <c r="R56" i="21"/>
  <c r="V63" i="1"/>
  <c r="J63" i="17"/>
  <c r="J75" i="19"/>
  <c r="J36" i="22"/>
  <c r="J50" i="23"/>
  <c r="R19" i="19"/>
  <c r="J88" i="22"/>
  <c r="R31" i="22"/>
  <c r="R79" i="18"/>
  <c r="R85" i="22"/>
  <c r="R83" i="17"/>
  <c r="R58" i="21"/>
  <c r="J40" i="17"/>
  <c r="J20" i="20"/>
  <c r="R84" i="19"/>
  <c r="J65" i="17"/>
  <c r="J60" i="18"/>
  <c r="R69" i="22"/>
  <c r="R87" i="23"/>
  <c r="J53" i="18"/>
  <c r="R66" i="21"/>
  <c r="R76" i="19"/>
  <c r="J25" i="20"/>
  <c r="J48" i="23"/>
  <c r="R23" i="18"/>
  <c r="R46" i="23"/>
  <c r="R45" i="22"/>
  <c r="R38" i="19"/>
  <c r="J27" i="19"/>
  <c r="J37" i="18"/>
  <c r="R30" i="23"/>
  <c r="R44" i="23"/>
  <c r="J57" i="18"/>
  <c r="R80" i="23"/>
  <c r="J48" i="21"/>
  <c r="J69" i="21"/>
  <c r="J39" i="21"/>
  <c r="J6" i="20"/>
  <c r="J64" i="23"/>
  <c r="R22" i="23"/>
  <c r="R35" i="19"/>
  <c r="R16" i="21"/>
  <c r="J92" i="18"/>
  <c r="R57" i="17"/>
  <c r="T59" i="1"/>
  <c r="T67" i="1"/>
  <c r="R50" i="17"/>
  <c r="R41" i="23"/>
  <c r="J98" i="21"/>
  <c r="R4" i="21"/>
  <c r="J70" i="22"/>
  <c r="J70" i="18"/>
  <c r="J68" i="23"/>
  <c r="J37" i="21"/>
  <c r="R11" i="17"/>
  <c r="J91" i="19"/>
  <c r="J62" i="22"/>
  <c r="J77" i="23"/>
  <c r="R24" i="19"/>
  <c r="R32" i="23"/>
  <c r="J84" i="17"/>
  <c r="V59" i="1"/>
  <c r="J98" i="18"/>
  <c r="U19" i="1"/>
  <c r="J49" i="17"/>
  <c r="R93" i="22"/>
  <c r="R73" i="22"/>
  <c r="R30" i="18"/>
  <c r="R16" i="17"/>
  <c r="J52" i="23"/>
  <c r="R89" i="21"/>
  <c r="R8" i="21"/>
  <c r="J50" i="18"/>
  <c r="J26" i="17"/>
  <c r="J27" i="23"/>
  <c r="R38" i="23"/>
  <c r="J55" i="21"/>
  <c r="R66" i="23"/>
  <c r="J18" i="17"/>
  <c r="R98" i="19"/>
  <c r="R24" i="17"/>
  <c r="R64" i="18"/>
  <c r="J91" i="20"/>
  <c r="R63" i="23"/>
  <c r="R84" i="22"/>
  <c r="R31" i="19"/>
  <c r="R48" i="18"/>
  <c r="R52" i="21"/>
  <c r="R85" i="17"/>
  <c r="J61" i="17"/>
  <c r="R97" i="23"/>
  <c r="J29" i="19"/>
  <c r="J5" i="20"/>
  <c r="J22" i="18"/>
  <c r="J89" i="18"/>
  <c r="R29" i="18"/>
  <c r="J43" i="21"/>
  <c r="J79" i="20"/>
  <c r="J96" i="18"/>
  <c r="J84" i="18"/>
  <c r="R51" i="23"/>
  <c r="J41" i="17"/>
  <c r="R86" i="22"/>
  <c r="R75" i="22"/>
  <c r="R21" i="22"/>
  <c r="R45" i="21"/>
  <c r="R59" i="23"/>
  <c r="J79" i="22"/>
  <c r="R13" i="21"/>
  <c r="R25" i="19"/>
  <c r="J95" i="22"/>
  <c r="R24" i="23"/>
  <c r="R91" i="22"/>
  <c r="R30" i="22"/>
  <c r="J94" i="21"/>
  <c r="R48" i="20"/>
  <c r="J19" i="18"/>
  <c r="J93" i="21"/>
  <c r="R54" i="19"/>
  <c r="J56" i="19"/>
  <c r="R52" i="23"/>
  <c r="J25" i="18"/>
  <c r="R78" i="18"/>
  <c r="J54" i="18"/>
  <c r="R27" i="23"/>
  <c r="J38" i="22"/>
  <c r="R7" i="20"/>
  <c r="V55" i="1"/>
  <c r="J83" i="20"/>
  <c r="R19" i="21"/>
  <c r="R70" i="19"/>
  <c r="J26" i="23"/>
  <c r="R63" i="17"/>
  <c r="J91" i="22"/>
  <c r="R65" i="23"/>
  <c r="J8" i="21"/>
  <c r="J87" i="19"/>
  <c r="R21" i="20"/>
  <c r="R86" i="23"/>
  <c r="R68" i="23"/>
  <c r="R87" i="20"/>
  <c r="R44" i="17"/>
  <c r="J78" i="23"/>
  <c r="J43" i="19"/>
  <c r="R81" i="19"/>
  <c r="R22" i="22"/>
  <c r="J83" i="17"/>
  <c r="R42" i="19"/>
  <c r="J67" i="17"/>
  <c r="J40" i="23"/>
  <c r="J85" i="20"/>
  <c r="J47" i="18"/>
  <c r="R94" i="21"/>
  <c r="R37" i="18"/>
  <c r="R63" i="19"/>
  <c r="J31" i="20"/>
  <c r="R43" i="22"/>
  <c r="R90" i="20"/>
  <c r="J57" i="22"/>
  <c r="J40" i="19"/>
  <c r="J65" i="22"/>
  <c r="R45" i="19"/>
  <c r="R35" i="23"/>
  <c r="J93" i="19"/>
  <c r="J49" i="23"/>
  <c r="J32" i="23"/>
  <c r="R37" i="23"/>
  <c r="J51" i="20"/>
  <c r="J84" i="19"/>
  <c r="V39" i="1"/>
  <c r="J23" i="19"/>
  <c r="J14" i="20"/>
  <c r="R3" i="17"/>
  <c r="J19" i="22"/>
  <c r="R91" i="21"/>
  <c r="J56" i="17"/>
  <c r="R95" i="20"/>
  <c r="R95" i="23"/>
  <c r="R20" i="23"/>
  <c r="J21" i="20"/>
  <c r="R38" i="17"/>
  <c r="R64" i="23"/>
  <c r="J30" i="20"/>
  <c r="R69" i="20"/>
  <c r="J55" i="23"/>
  <c r="J44" i="17"/>
  <c r="J72" i="22"/>
  <c r="J58" i="17"/>
  <c r="R67" i="17"/>
  <c r="R55" i="21"/>
  <c r="R68" i="18"/>
  <c r="R70" i="18"/>
  <c r="J41" i="22"/>
  <c r="J30" i="17"/>
  <c r="J43" i="17"/>
  <c r="J35" i="21"/>
  <c r="R31" i="23"/>
  <c r="R87" i="17"/>
  <c r="J67" i="22"/>
  <c r="J23" i="23"/>
  <c r="J95" i="21"/>
  <c r="R55" i="19"/>
  <c r="R47" i="19"/>
  <c r="J70" i="23"/>
  <c r="R43" i="17"/>
  <c r="J66" i="18"/>
  <c r="R64" i="20"/>
  <c r="R3" i="21"/>
  <c r="J59" i="23"/>
  <c r="R43" i="18"/>
  <c r="R51" i="18"/>
  <c r="J12" i="17"/>
  <c r="J82" i="23"/>
  <c r="J63" i="22"/>
  <c r="J85" i="18"/>
  <c r="J70" i="21"/>
  <c r="R76" i="23"/>
  <c r="J15" i="21"/>
  <c r="R12" i="20"/>
  <c r="J55" i="19"/>
  <c r="R57" i="22"/>
  <c r="T35" i="1"/>
  <c r="R93" i="21"/>
  <c r="R53" i="21"/>
  <c r="R36" i="20"/>
  <c r="R92" i="18"/>
  <c r="J4" i="20"/>
  <c r="J64" i="22"/>
  <c r="R31" i="18"/>
  <c r="J13" i="21"/>
  <c r="R52" i="20"/>
  <c r="J41" i="21"/>
  <c r="R52" i="18"/>
  <c r="J80" i="20"/>
  <c r="J80" i="18"/>
  <c r="R41" i="19"/>
  <c r="R85" i="20"/>
  <c r="R46" i="19"/>
  <c r="J97" i="20"/>
  <c r="J93" i="18"/>
  <c r="J67" i="19"/>
  <c r="R82" i="23"/>
  <c r="J28" i="18"/>
  <c r="J49" i="18"/>
  <c r="J28" i="20"/>
  <c r="R9" i="20"/>
  <c r="J43" i="23"/>
  <c r="T43" i="1"/>
  <c r="R60" i="22"/>
  <c r="J25" i="21"/>
  <c r="J96" i="17"/>
  <c r="T75" i="1"/>
  <c r="J31" i="23"/>
  <c r="R32" i="19"/>
  <c r="J82" i="20"/>
  <c r="R22" i="20"/>
  <c r="J90" i="21"/>
  <c r="J20" i="19"/>
  <c r="R40" i="23"/>
  <c r="T23" i="1"/>
  <c r="J90" i="17"/>
  <c r="J34" i="17"/>
  <c r="J51" i="23"/>
  <c r="U23" i="1"/>
  <c r="U35" i="1"/>
  <c r="R87" i="19"/>
  <c r="J54" i="23"/>
  <c r="J81" i="19"/>
  <c r="J39" i="23"/>
  <c r="J73" i="22"/>
  <c r="J86" i="17"/>
  <c r="R41" i="17"/>
  <c r="R97" i="19"/>
  <c r="R46" i="17"/>
  <c r="J33" i="20"/>
  <c r="R94" i="19"/>
  <c r="R52" i="22"/>
  <c r="J38" i="17"/>
  <c r="R41" i="20"/>
  <c r="R72" i="20"/>
  <c r="R22" i="17"/>
  <c r="J34" i="20"/>
  <c r="J81" i="18"/>
  <c r="J52" i="17"/>
  <c r="R50" i="18"/>
  <c r="R28" i="17"/>
  <c r="R47" i="23"/>
  <c r="J24" i="20"/>
  <c r="R49" i="18"/>
  <c r="J60" i="20"/>
  <c r="J52" i="18"/>
  <c r="R33" i="23"/>
  <c r="R55" i="23"/>
  <c r="J42" i="21"/>
  <c r="J30" i="18"/>
  <c r="J51" i="22"/>
  <c r="R50" i="20"/>
  <c r="R87" i="18"/>
  <c r="R42" i="22"/>
  <c r="J44" i="22"/>
  <c r="R16" i="20"/>
  <c r="J76" i="19"/>
  <c r="J30" i="23"/>
  <c r="R33" i="18"/>
  <c r="J75" i="22"/>
  <c r="R44" i="20"/>
  <c r="R53" i="23"/>
  <c r="R24" i="21"/>
  <c r="J63" i="21"/>
  <c r="R64" i="22"/>
  <c r="R46" i="18"/>
  <c r="J47" i="17"/>
  <c r="R93" i="20"/>
  <c r="R7" i="17"/>
  <c r="J83" i="18"/>
  <c r="V19" i="1"/>
  <c r="R69" i="18"/>
  <c r="R20" i="20"/>
  <c r="J55" i="18"/>
  <c r="J39" i="20"/>
  <c r="V75" i="1"/>
  <c r="J98" i="20"/>
  <c r="J53" i="21"/>
  <c r="J65" i="19"/>
  <c r="R52" i="19"/>
  <c r="R33" i="21"/>
  <c r="J74" i="22"/>
  <c r="U71" i="1"/>
  <c r="R41" i="18"/>
  <c r="R77" i="23"/>
  <c r="J76" i="18"/>
  <c r="J51" i="19"/>
  <c r="J26" i="19"/>
  <c r="J47" i="23"/>
  <c r="R93" i="18"/>
  <c r="J62" i="20"/>
  <c r="J73" i="23"/>
  <c r="J36" i="18"/>
  <c r="R85" i="23"/>
  <c r="J72" i="18"/>
  <c r="J31" i="19"/>
  <c r="R46" i="21"/>
  <c r="J60" i="19"/>
  <c r="J47" i="21"/>
  <c r="J28" i="22"/>
  <c r="J71" i="23"/>
  <c r="R93" i="23"/>
  <c r="J98" i="17"/>
  <c r="R37" i="19"/>
  <c r="J38" i="21"/>
  <c r="J29" i="23"/>
  <c r="J29" i="22"/>
  <c r="R26" i="21"/>
  <c r="J85" i="22"/>
  <c r="J81" i="23"/>
  <c r="U43" i="1"/>
  <c r="J33" i="19"/>
  <c r="R81" i="23"/>
  <c r="J79" i="19"/>
  <c r="R26" i="18"/>
  <c r="J36" i="23"/>
  <c r="R68" i="20"/>
  <c r="R51" i="21"/>
  <c r="J93" i="22"/>
  <c r="R61" i="21"/>
  <c r="J67" i="20"/>
  <c r="J26" i="22"/>
  <c r="R51" i="22"/>
  <c r="J62" i="21"/>
  <c r="J45" i="18"/>
  <c r="R86" i="20"/>
  <c r="J64" i="19"/>
  <c r="R21" i="21"/>
  <c r="J42" i="19"/>
  <c r="R59" i="17"/>
  <c r="J32" i="17"/>
  <c r="R69" i="21"/>
  <c r="R15" i="20"/>
  <c r="R54" i="22"/>
  <c r="J82" i="19"/>
  <c r="J34" i="22"/>
  <c r="J27" i="22"/>
  <c r="R18" i="20"/>
  <c r="R67" i="20"/>
  <c r="R39" i="22"/>
  <c r="R39" i="21"/>
  <c r="J29" i="20"/>
  <c r="R47" i="22"/>
  <c r="R36" i="21"/>
  <c r="R43" i="20"/>
  <c r="R88" i="21"/>
  <c r="J42" i="23"/>
  <c r="R88" i="20"/>
  <c r="J36" i="20"/>
  <c r="J47" i="22"/>
  <c r="R66" i="20"/>
  <c r="J90" i="19"/>
  <c r="U63" i="1"/>
  <c r="U59" i="1"/>
  <c r="J59" i="17"/>
  <c r="R69" i="23"/>
  <c r="J72" i="19"/>
  <c r="R83" i="20"/>
  <c r="R34" i="22"/>
  <c r="J24" i="18"/>
  <c r="R97" i="22"/>
  <c r="J38" i="23"/>
  <c r="J58" i="23"/>
  <c r="R95" i="17"/>
  <c r="J88" i="23"/>
  <c r="J70" i="20"/>
  <c r="J61" i="19"/>
  <c r="J20" i="21"/>
  <c r="R35" i="18"/>
  <c r="R18" i="17"/>
  <c r="J34" i="19"/>
  <c r="R68" i="22"/>
  <c r="R71" i="18"/>
  <c r="R79" i="22"/>
  <c r="R51" i="19"/>
  <c r="R32" i="17"/>
  <c r="R60" i="23"/>
  <c r="J98" i="22"/>
  <c r="R15" i="21"/>
  <c r="J19" i="17"/>
  <c r="R70" i="23"/>
  <c r="J97" i="21"/>
  <c r="J81" i="20"/>
  <c r="J48" i="20"/>
  <c r="R39" i="23"/>
  <c r="J67" i="21"/>
  <c r="R49" i="19"/>
  <c r="J27" i="18"/>
  <c r="J42" i="22"/>
  <c r="T27" i="1"/>
  <c r="R41" i="21"/>
  <c r="R55" i="18"/>
  <c r="J52" i="20"/>
  <c r="J61" i="20"/>
  <c r="J15" i="20"/>
  <c r="J88" i="17"/>
  <c r="U67" i="1"/>
  <c r="J88" i="18"/>
  <c r="R56" i="22"/>
  <c r="J25" i="23"/>
  <c r="J97" i="19"/>
  <c r="J23" i="20"/>
  <c r="J95" i="18"/>
  <c r="J67" i="23"/>
  <c r="J46" i="19"/>
  <c r="R45" i="20"/>
  <c r="J35" i="17"/>
  <c r="U55" i="1"/>
  <c r="J59" i="22"/>
  <c r="J89" i="17"/>
  <c r="J5" i="17"/>
  <c r="J41" i="19"/>
  <c r="J26" i="20"/>
  <c r="J31" i="21"/>
  <c r="J78" i="18"/>
  <c r="J7" i="20"/>
  <c r="J28" i="19"/>
  <c r="J97" i="17"/>
  <c r="J50" i="22"/>
  <c r="J68" i="19"/>
  <c r="J30" i="19"/>
  <c r="J98" i="23"/>
  <c r="R25" i="18"/>
  <c r="R72" i="22"/>
  <c r="J61" i="21"/>
  <c r="J63" i="20"/>
  <c r="R98" i="18"/>
  <c r="J33" i="18"/>
  <c r="R42" i="20"/>
  <c r="J5" i="21"/>
  <c r="R76" i="22"/>
  <c r="J43" i="20"/>
  <c r="R66" i="19"/>
  <c r="J35" i="22"/>
  <c r="J22" i="19"/>
  <c r="T71" i="1"/>
  <c r="J7" i="17"/>
  <c r="R60" i="17"/>
  <c r="J35" i="18"/>
  <c r="J21" i="18"/>
  <c r="J23" i="22"/>
  <c r="J91" i="21"/>
  <c r="R47" i="21"/>
  <c r="R57" i="21"/>
  <c r="J75" i="18"/>
  <c r="J6" i="17"/>
  <c r="R29" i="19"/>
  <c r="R65" i="20"/>
  <c r="J89" i="23"/>
  <c r="J33" i="23"/>
  <c r="J28" i="23"/>
  <c r="R26" i="22"/>
  <c r="J89" i="22"/>
  <c r="J76" i="20"/>
  <c r="J54" i="19"/>
  <c r="R19" i="18"/>
  <c r="R97" i="17"/>
  <c r="J35" i="19"/>
  <c r="R82" i="18"/>
  <c r="J98" i="19"/>
  <c r="T19" i="1"/>
  <c r="R84" i="20"/>
  <c r="V23" i="1"/>
  <c r="J51" i="17"/>
  <c r="J94" i="19"/>
  <c r="R64" i="17"/>
  <c r="R84" i="17"/>
  <c r="R88" i="17"/>
  <c r="J78" i="22"/>
  <c r="J55" i="22"/>
  <c r="R56" i="18"/>
  <c r="R48" i="21"/>
  <c r="R38" i="22"/>
  <c r="J70" i="17"/>
  <c r="J43" i="22"/>
  <c r="R80" i="19"/>
  <c r="R42" i="17"/>
  <c r="R34" i="21"/>
  <c r="R90" i="22"/>
  <c r="J52" i="21"/>
  <c r="J67" i="18"/>
  <c r="J96" i="19"/>
  <c r="R33" i="19"/>
  <c r="R75" i="19"/>
  <c r="R31" i="21"/>
  <c r="J60" i="22"/>
  <c r="U31" i="1"/>
  <c r="J34" i="21"/>
  <c r="J17" i="20"/>
  <c r="J53" i="20"/>
  <c r="R48" i="22"/>
  <c r="R24" i="18"/>
  <c r="R33" i="22"/>
  <c r="T47" i="1"/>
  <c r="R44" i="18"/>
  <c r="J78" i="20"/>
  <c r="R55" i="22"/>
  <c r="R61" i="23"/>
  <c r="R20" i="18"/>
  <c r="J45" i="22"/>
  <c r="J88" i="21"/>
  <c r="J84" i="23"/>
  <c r="J70" i="19"/>
  <c r="R37" i="17"/>
  <c r="T79" i="1"/>
  <c r="R26" i="19"/>
  <c r="R65" i="21"/>
  <c r="J68" i="17"/>
  <c r="J79" i="18"/>
  <c r="J27" i="21"/>
  <c r="R63" i="22"/>
  <c r="J58" i="22"/>
  <c r="R81" i="20"/>
  <c r="R50" i="21"/>
  <c r="J65" i="18"/>
  <c r="R89" i="17"/>
  <c r="R61" i="20"/>
  <c r="J21" i="21"/>
  <c r="R21" i="18"/>
  <c r="R48" i="17"/>
  <c r="R37" i="20"/>
  <c r="J48" i="18"/>
  <c r="R75" i="20"/>
  <c r="R92" i="19"/>
  <c r="R74" i="18"/>
  <c r="R54" i="18"/>
  <c r="J24" i="19"/>
  <c r="R70" i="20"/>
  <c r="J57" i="20"/>
  <c r="J50" i="20"/>
  <c r="J41" i="23"/>
  <c r="J49" i="21"/>
  <c r="R97" i="21"/>
  <c r="T63" i="1"/>
  <c r="J46" i="20"/>
  <c r="R44" i="22"/>
  <c r="J72" i="20"/>
  <c r="R26" i="20"/>
  <c r="R37" i="22"/>
  <c r="R26" i="17"/>
  <c r="R18" i="21"/>
  <c r="R49" i="20"/>
  <c r="R77" i="18"/>
  <c r="J96" i="20"/>
  <c r="J21" i="17"/>
  <c r="J43" i="18"/>
  <c r="J16" i="17"/>
  <c r="R84" i="18"/>
  <c r="R86" i="18"/>
  <c r="J77" i="22"/>
  <c r="R25" i="17"/>
  <c r="J62" i="18"/>
  <c r="J84" i="20"/>
  <c r="J13" i="17"/>
  <c r="R96" i="21"/>
  <c r="J90" i="20"/>
  <c r="J76" i="22"/>
  <c r="T55" i="1"/>
  <c r="R73" i="18"/>
  <c r="J42" i="17"/>
  <c r="R47" i="17"/>
  <c r="R34" i="17"/>
  <c r="R28" i="18"/>
  <c r="R17" i="21"/>
  <c r="J39" i="17"/>
  <c r="R43" i="23"/>
  <c r="J91" i="17"/>
  <c r="R91" i="17"/>
  <c r="R25" i="23"/>
  <c r="R80" i="18"/>
  <c r="R20" i="19"/>
  <c r="R62" i="19"/>
  <c r="R65" i="19"/>
  <c r="R78" i="22"/>
  <c r="J24" i="21"/>
  <c r="J64" i="21"/>
  <c r="R68" i="17"/>
  <c r="J75" i="20"/>
  <c r="J35" i="23"/>
  <c r="R91" i="19"/>
  <c r="J47" i="20"/>
  <c r="J20" i="17"/>
  <c r="J12" i="21"/>
  <c r="J97" i="18"/>
  <c r="J37" i="19"/>
  <c r="J87" i="20"/>
  <c r="J56" i="22"/>
  <c r="J68" i="18"/>
  <c r="R39" i="17"/>
  <c r="T39" i="1"/>
  <c r="U51" i="1"/>
  <c r="J41" i="20"/>
  <c r="J9" i="20"/>
  <c r="J92" i="20"/>
  <c r="R25" i="21"/>
  <c r="R86" i="17"/>
  <c r="J26" i="21"/>
  <c r="R9" i="17"/>
  <c r="R45" i="18"/>
  <c r="R22" i="21"/>
  <c r="J4" i="21"/>
  <c r="R52" i="17"/>
  <c r="J63" i="19"/>
  <c r="J97" i="23"/>
  <c r="R67" i="19"/>
  <c r="J6" i="21"/>
  <c r="R75" i="18"/>
  <c r="R69" i="19"/>
  <c r="U39" i="1"/>
  <c r="R65" i="18"/>
  <c r="R91" i="23"/>
  <c r="R60" i="20"/>
  <c r="R97" i="20"/>
  <c r="R39" i="19"/>
  <c r="R78" i="23"/>
  <c r="R96" i="18"/>
  <c r="J32" i="20"/>
  <c r="J46" i="17"/>
  <c r="J69" i="20"/>
  <c r="X43" i="1"/>
  <c r="Y55" i="1"/>
  <c r="V91" i="1"/>
  <c r="V83" i="1"/>
  <c r="X55" i="1"/>
  <c r="AL5" i="10"/>
  <c r="Y43" i="1"/>
  <c r="AK5" i="10"/>
  <c r="U87" i="1"/>
  <c r="AI5" i="10"/>
  <c r="Y11" i="1"/>
  <c r="X83" i="1"/>
  <c r="W75" i="1"/>
  <c r="AD3" i="10"/>
  <c r="W63" i="1"/>
  <c r="T83" i="1"/>
  <c r="AF3" i="10"/>
  <c r="W95" i="1"/>
  <c r="X51" i="1"/>
  <c r="X7" i="1"/>
  <c r="W3" i="1"/>
  <c r="AG5" i="10"/>
  <c r="X87" i="1"/>
  <c r="X71" i="1"/>
  <c r="Y19" i="1"/>
  <c r="AF5" i="10"/>
  <c r="W39" i="1"/>
  <c r="X67" i="1"/>
  <c r="X15" i="1"/>
  <c r="AE4" i="10"/>
  <c r="AK3" i="10"/>
  <c r="W11" i="1"/>
  <c r="Y23" i="1"/>
  <c r="X59" i="1"/>
  <c r="W87" i="1"/>
  <c r="W59" i="1"/>
  <c r="Y83" i="1"/>
  <c r="AD5" i="10"/>
  <c r="Y27" i="1"/>
  <c r="Y67" i="1"/>
  <c r="W19" i="1"/>
  <c r="W83" i="1"/>
  <c r="Y47" i="1"/>
  <c r="U95" i="1"/>
  <c r="AE3" i="10"/>
  <c r="AE6" i="10"/>
  <c r="Y87" i="1"/>
  <c r="Y63" i="1"/>
  <c r="Y75" i="1"/>
  <c r="X35" i="1"/>
  <c r="AF6" i="10"/>
  <c r="AG3" i="10"/>
  <c r="Y39" i="1"/>
  <c r="Y91" i="1"/>
  <c r="W47" i="1"/>
  <c r="X11" i="1"/>
  <c r="Y59" i="1"/>
  <c r="AK6" i="10"/>
  <c r="W71" i="1"/>
  <c r="AL6" i="10"/>
  <c r="AL3" i="10"/>
  <c r="Y79" i="1"/>
  <c r="X95" i="1"/>
  <c r="W43" i="1"/>
  <c r="Y35" i="1"/>
  <c r="Y3" i="1"/>
  <c r="X27" i="1"/>
  <c r="AJ6" i="10"/>
  <c r="AI6" i="10"/>
  <c r="W35" i="1"/>
  <c r="X79" i="1"/>
  <c r="W7" i="1"/>
  <c r="U91" i="1"/>
  <c r="Y7" i="1"/>
  <c r="AD6" i="10"/>
  <c r="X31" i="1"/>
  <c r="AI3" i="10"/>
  <c r="W79" i="1"/>
  <c r="W67" i="1"/>
  <c r="T91" i="1"/>
  <c r="AK4" i="10"/>
  <c r="X91" i="1"/>
  <c r="X19" i="1"/>
  <c r="X63" i="1"/>
  <c r="W31" i="1"/>
  <c r="AL4" i="10"/>
  <c r="V95" i="1"/>
  <c r="T95" i="1"/>
  <c r="U83" i="1"/>
  <c r="W15" i="1"/>
  <c r="X3" i="1"/>
  <c r="W51" i="1"/>
  <c r="Y71" i="1"/>
  <c r="Y51" i="1"/>
  <c r="AJ5" i="10"/>
  <c r="Y95" i="1"/>
  <c r="X47" i="1"/>
  <c r="W27" i="1"/>
  <c r="Y31" i="1"/>
  <c r="Y15" i="1"/>
  <c r="W55" i="1"/>
  <c r="AJ3" i="10"/>
  <c r="X39" i="1"/>
  <c r="X75" i="1"/>
  <c r="W23" i="1"/>
  <c r="AF4" i="10"/>
  <c r="X23" i="1"/>
  <c r="AJ4" i="10"/>
  <c r="W91" i="1"/>
  <c r="AG6" i="10"/>
  <c r="V87" i="1"/>
  <c r="AG4" i="10"/>
  <c r="T87" i="1"/>
  <c r="AD4" i="10"/>
  <c r="AE5" i="10"/>
  <c r="AI4" i="10"/>
  <c r="T106" i="1" l="1"/>
  <c r="C10" i="16" s="1"/>
  <c r="U106" i="1"/>
  <c r="D10" i="16" s="1"/>
  <c r="V106" i="1"/>
  <c r="E10" i="16" s="1"/>
  <c r="J107" i="18"/>
  <c r="J108" i="18"/>
  <c r="J113" i="18"/>
  <c r="J114" i="18"/>
  <c r="U101" i="1"/>
  <c r="D5" i="25" s="1"/>
  <c r="R108" i="19"/>
  <c r="R113" i="19"/>
  <c r="R114" i="19"/>
  <c r="R107" i="19"/>
  <c r="T103" i="1"/>
  <c r="C7" i="25" s="1"/>
  <c r="R113" i="23"/>
  <c r="R114" i="23"/>
  <c r="R108" i="23"/>
  <c r="R107" i="23"/>
  <c r="R113" i="21"/>
  <c r="R114" i="21"/>
  <c r="R107" i="21"/>
  <c r="R108" i="21"/>
  <c r="V102" i="1"/>
  <c r="E6" i="16" s="1"/>
  <c r="V103" i="1"/>
  <c r="E7" i="16" s="1"/>
  <c r="J114" i="22"/>
  <c r="J108" i="22"/>
  <c r="J113" i="22"/>
  <c r="J107" i="22"/>
  <c r="J108" i="23"/>
  <c r="J114" i="23"/>
  <c r="J113" i="23"/>
  <c r="J107" i="23"/>
  <c r="U103" i="1"/>
  <c r="D7" i="25" s="1"/>
  <c r="T102" i="1"/>
  <c r="C6" i="16" s="1"/>
  <c r="J107" i="20"/>
  <c r="J114" i="20"/>
  <c r="J108" i="20"/>
  <c r="J113" i="20"/>
  <c r="U102" i="1"/>
  <c r="D6" i="16" s="1"/>
  <c r="V101" i="1"/>
  <c r="E5" i="25" s="1"/>
  <c r="R107" i="22"/>
  <c r="R108" i="22"/>
  <c r="R113" i="22"/>
  <c r="U115" i="22" s="1"/>
  <c r="F38" i="25" s="1"/>
  <c r="R114" i="22"/>
  <c r="T104" i="1"/>
  <c r="C8" i="25" s="1"/>
  <c r="T101" i="1"/>
  <c r="J113" i="21"/>
  <c r="J107" i="21"/>
  <c r="U109" i="21" s="1"/>
  <c r="F25" i="16" s="1"/>
  <c r="J108" i="21"/>
  <c r="J114" i="21"/>
  <c r="J107" i="17"/>
  <c r="J114" i="17"/>
  <c r="J108" i="17"/>
  <c r="J113" i="17"/>
  <c r="U104" i="1"/>
  <c r="D8" i="25" s="1"/>
  <c r="R114" i="18"/>
  <c r="R107" i="18"/>
  <c r="R113" i="18"/>
  <c r="R108" i="18"/>
  <c r="R113" i="17"/>
  <c r="R114" i="17"/>
  <c r="R108" i="17"/>
  <c r="R107" i="17"/>
  <c r="U109" i="17" s="1"/>
  <c r="C25" i="16" s="1"/>
  <c r="V104" i="1"/>
  <c r="E8" i="25" s="1"/>
  <c r="J108" i="19"/>
  <c r="J113" i="19"/>
  <c r="J107" i="19"/>
  <c r="U109" i="19" s="1"/>
  <c r="C51" i="16" s="1"/>
  <c r="J114" i="19"/>
  <c r="R113" i="20"/>
  <c r="R114" i="20"/>
  <c r="R107" i="20"/>
  <c r="U109" i="20" s="1"/>
  <c r="F12" i="16" s="1"/>
  <c r="R108" i="20"/>
  <c r="U109" i="18"/>
  <c r="C38" i="16" s="1"/>
  <c r="Y104" i="1"/>
  <c r="Y105" i="1"/>
  <c r="U105" i="1"/>
  <c r="U100" i="1"/>
  <c r="D4" i="25" s="1"/>
  <c r="U112" i="1"/>
  <c r="D9" i="25" s="1"/>
  <c r="U99" i="1"/>
  <c r="D4" i="16" s="1"/>
  <c r="W112" i="1"/>
  <c r="C10" i="25" s="1"/>
  <c r="W106" i="1"/>
  <c r="C11" i="16" s="1"/>
  <c r="W100" i="1"/>
  <c r="W99" i="1"/>
  <c r="AF12" i="10"/>
  <c r="AF15" i="10" s="1"/>
  <c r="AF13" i="10"/>
  <c r="AF16" i="10" s="1"/>
  <c r="W105" i="1"/>
  <c r="AD12" i="10"/>
  <c r="AD15" i="10" s="1"/>
  <c r="AD13" i="10"/>
  <c r="AD16" i="10" s="1"/>
  <c r="X104" i="1"/>
  <c r="W101" i="1"/>
  <c r="Y101" i="1"/>
  <c r="W104" i="1"/>
  <c r="X106" i="1"/>
  <c r="D11" i="16" s="1"/>
  <c r="X112" i="1"/>
  <c r="D10" i="25" s="1"/>
  <c r="X100" i="1"/>
  <c r="X99" i="1"/>
  <c r="X105" i="1"/>
  <c r="V100" i="1"/>
  <c r="E4" i="25" s="1"/>
  <c r="V99" i="1"/>
  <c r="E4" i="16" s="1"/>
  <c r="V112" i="1"/>
  <c r="E9" i="25" s="1"/>
  <c r="T105" i="1"/>
  <c r="W102" i="1"/>
  <c r="V105" i="1"/>
  <c r="Y106" i="1"/>
  <c r="E11" i="16" s="1"/>
  <c r="Y100" i="1"/>
  <c r="Y99" i="1"/>
  <c r="Y112" i="1"/>
  <c r="E10" i="25" s="1"/>
  <c r="Y102" i="1"/>
  <c r="X101" i="1"/>
  <c r="T100" i="1"/>
  <c r="C4" i="25" s="1"/>
  <c r="T99" i="1"/>
  <c r="C4" i="16" s="1"/>
  <c r="T112" i="1"/>
  <c r="C9" i="25" s="1"/>
  <c r="AG13" i="10"/>
  <c r="AG16" i="10" s="1"/>
  <c r="AG12" i="10"/>
  <c r="AG15" i="10" s="1"/>
  <c r="X103" i="1"/>
  <c r="Y103" i="1"/>
  <c r="AE12" i="10"/>
  <c r="AE15" i="10" s="1"/>
  <c r="AE13" i="10"/>
  <c r="AE16" i="10" s="1"/>
  <c r="W103" i="1"/>
  <c r="X102" i="1"/>
  <c r="C5" i="16" l="1"/>
  <c r="U115" i="20"/>
  <c r="F12" i="25" s="1"/>
  <c r="U115" i="21"/>
  <c r="F25" i="25" s="1"/>
  <c r="U115" i="23"/>
  <c r="F51" i="25" s="1"/>
  <c r="U115" i="19"/>
  <c r="C51" i="25" s="1"/>
  <c r="U115" i="18"/>
  <c r="C38" i="25" s="1"/>
  <c r="D7" i="16"/>
  <c r="E5" i="16"/>
  <c r="U115" i="17"/>
  <c r="C25" i="25" s="1"/>
  <c r="U109" i="22"/>
  <c r="F38" i="16" s="1"/>
  <c r="E8" i="16"/>
  <c r="C8" i="16"/>
  <c r="E7" i="25"/>
  <c r="U109" i="23"/>
  <c r="F51" i="16" s="1"/>
  <c r="D8" i="16"/>
  <c r="C7" i="16"/>
  <c r="D6" i="25"/>
  <c r="E6" i="25"/>
  <c r="C6" i="25"/>
  <c r="D5" i="16"/>
  <c r="C5" i="25"/>
  <c r="E11" i="25"/>
  <c r="E9" i="16"/>
  <c r="D9" i="16"/>
  <c r="D11" i="25"/>
  <c r="C11" i="25"/>
  <c r="C9" i="16"/>
</calcChain>
</file>

<file path=xl/sharedStrings.xml><?xml version="1.0" encoding="utf-8"?>
<sst xmlns="http://schemas.openxmlformats.org/spreadsheetml/2006/main" count="808" uniqueCount="109">
  <si>
    <t>Nebuta</t>
  </si>
  <si>
    <t>QPISlice</t>
  </si>
  <si>
    <t>Class A</t>
  </si>
  <si>
    <t>Traffic</t>
  </si>
  <si>
    <t>4K</t>
  </si>
  <si>
    <t>PeopleOnStreet</t>
  </si>
  <si>
    <t>SteamLocomotive</t>
  </si>
  <si>
    <t>Class B</t>
  </si>
  <si>
    <t>Kimono</t>
  </si>
  <si>
    <t>1080p</t>
  </si>
  <si>
    <t>ParkScene</t>
  </si>
  <si>
    <t>Cactus</t>
  </si>
  <si>
    <t>BasketballDrive</t>
  </si>
  <si>
    <t>BQTerrace</t>
  </si>
  <si>
    <t>Class C</t>
  </si>
  <si>
    <t>BasketballDrill</t>
  </si>
  <si>
    <t>WVGA</t>
  </si>
  <si>
    <t>BQMall</t>
  </si>
  <si>
    <t>PartyScene</t>
  </si>
  <si>
    <t>RaceHorses</t>
  </si>
  <si>
    <t>Class D</t>
  </si>
  <si>
    <t>BasketballPass</t>
  </si>
  <si>
    <t>WQVGA</t>
  </si>
  <si>
    <t>BQSquare</t>
  </si>
  <si>
    <t>BlowingBubbles</t>
  </si>
  <si>
    <t>ClassE</t>
  </si>
  <si>
    <t>720p</t>
  </si>
  <si>
    <t>Class E</t>
  </si>
  <si>
    <t>All</t>
  </si>
  <si>
    <t>Time geomean</t>
  </si>
  <si>
    <t>Time sum (hours)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</si>
  <si>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</si>
  <si>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</si>
  <si>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</si>
  <si>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</si>
  <si>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</si>
  <si>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</si>
  <si>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</si>
  <si>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</si>
  <si>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</si>
  <si>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</si>
  <si>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Overall</t>
  </si>
  <si>
    <t>Enc Time[%]</t>
  </si>
  <si>
    <t>Dec Time[%]</t>
  </si>
  <si>
    <t>BD-rate (piecewise cubic)</t>
  </si>
  <si>
    <t>BD-rate (cubic)</t>
  </si>
  <si>
    <t>Note: BD-rate is computed using piece-wise cubic interpolation</t>
  </si>
  <si>
    <t>Shaded numbers using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</si>
  <si>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</si>
  <si>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</si>
  <si>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</si>
  <si>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</si>
  <si>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</si>
  <si>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RaceHorses C</t>
  </si>
  <si>
    <t>rate</t>
  </si>
  <si>
    <t>y</t>
  </si>
  <si>
    <t>u</t>
  </si>
  <si>
    <t>v</t>
  </si>
  <si>
    <t>ClassF</t>
  </si>
  <si>
    <t>BasketballDrillText</t>
  </si>
  <si>
    <t>ChinaSpeed</t>
  </si>
  <si>
    <t>SlideEditing</t>
  </si>
  <si>
    <t>SlideShow</t>
  </si>
  <si>
    <t>Class F</t>
  </si>
  <si>
    <t>AI-HE10</t>
  </si>
  <si>
    <t>RA-HE10</t>
  </si>
  <si>
    <t>LB-HE10</t>
  </si>
  <si>
    <t>LP-HE10</t>
  </si>
  <si>
    <t>Class A (8-bit)</t>
  </si>
  <si>
    <t>All Intra Main</t>
  </si>
  <si>
    <t>Random Access Main</t>
  </si>
  <si>
    <t>Low delay B Main</t>
  </si>
  <si>
    <t>Low delay P Main</t>
  </si>
  <si>
    <t>All Intra HE10</t>
  </si>
  <si>
    <t>Random Access HE10</t>
  </si>
  <si>
    <t>Low delay B HE10</t>
  </si>
  <si>
    <t>Low delay P HE10</t>
  </si>
  <si>
    <t>AI-Main</t>
  </si>
  <si>
    <t>RA-Main</t>
  </si>
  <si>
    <t>LB-Main</t>
  </si>
  <si>
    <t>LP-Main</t>
  </si>
  <si>
    <t>FourPeople</t>
  </si>
  <si>
    <t>Johnny</t>
  </si>
  <si>
    <t>KristenAndSara</t>
  </si>
  <si>
    <t>PC Cluster configuration</t>
  </si>
  <si>
    <t>OS</t>
  </si>
  <si>
    <t>SUSE 11.4</t>
  </si>
  <si>
    <t>Compiler</t>
  </si>
  <si>
    <t>gcc v4.5.1</t>
  </si>
  <si>
    <t>CPU</t>
  </si>
  <si>
    <t>Intel i7 2600 (Hyper Threading Disabled)</t>
  </si>
  <si>
    <t>RAM</t>
  </si>
  <si>
    <t>2x(4GB DDR3 1333)</t>
  </si>
  <si>
    <t>HD</t>
  </si>
  <si>
    <t>1TB (7200rpm)</t>
  </si>
  <si>
    <t>Processes</t>
  </si>
  <si>
    <t>4 simulations always running on each machine</t>
  </si>
  <si>
    <t>Encoder &amp; decoder configured to output yuv files.</t>
  </si>
  <si>
    <t>Time Ratio</t>
  </si>
  <si>
    <t>Class A (8 bit)</t>
  </si>
  <si>
    <t>Class A(8 bit)-E</t>
  </si>
  <si>
    <t>HEVC HM15.0_RExt7.3</t>
  </si>
  <si>
    <t>HEVC HM16.0</t>
  </si>
  <si>
    <t>Traffic</t>
    <phoneticPr fontId="1" type="noConversion"/>
  </si>
  <si>
    <t>PeopleOnStreet</t>
    <phoneticPr fontId="1" type="noConversion"/>
  </si>
  <si>
    <t>SteamLocomotive</t>
    <phoneticPr fontId="1" type="noConversion"/>
  </si>
  <si>
    <r>
      <t>Nebuta</t>
    </r>
    <r>
      <rPr>
        <sz val="9"/>
        <color indexed="8"/>
        <rFont val="宋体"/>
        <family val="3"/>
        <charset val="134"/>
      </rPr>
      <t>（</t>
    </r>
    <r>
      <rPr>
        <sz val="9"/>
        <color indexed="8"/>
        <rFont val="Arial"/>
        <family val="2"/>
      </rPr>
      <t>10bit</t>
    </r>
    <r>
      <rPr>
        <sz val="9"/>
        <color indexed="8"/>
        <rFont val="宋体"/>
        <family val="3"/>
        <charset val="134"/>
      </rPr>
      <t>）</t>
    </r>
    <phoneticPr fontId="1" type="noConversion"/>
  </si>
  <si>
    <t>（10bit）</t>
    <phoneticPr fontId="1" type="noConversion"/>
  </si>
  <si>
    <t>ClassE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</si>
</sst>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 "/>
    <numFmt numFmtId="177" formatCode="0.0%"/>
    <numFmt numFmtId="178" formatCode="0.0"/>
    <numFmt numFmtId="179" formatCode="0.0000%"/>
  </numFmts>
  <fonts count="9" x14ac:knownFonts="1">
    <font>
      <sz val="12"/>
      <color theme="1"/>
      <name val="宋体"/>
      <family val="2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9"/>
      <color indexed="23"/>
      <name val="Arial"/>
      <family val="2"/>
    </font>
    <font>
      <sz val="10"/>
      <color indexed="8"/>
      <name val="Calibri"/>
      <family val="2"/>
    </font>
    <font>
      <sz val="9"/>
      <color theme="0" tint="-0.499984740745262"/>
      <name val="Arial"/>
      <family val="2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/>
    <xf numFmtId="176" fontId="2" fillId="2" borderId="4" xfId="0" applyNumberFormat="1" applyFont="1" applyFill="1" applyBorder="1" applyAlignment="1"/>
    <xf numFmtId="176" fontId="2" fillId="2" borderId="5" xfId="0" applyNumberFormat="1" applyFont="1" applyFill="1" applyBorder="1" applyAlignment="1"/>
    <xf numFmtId="176" fontId="2" fillId="2" borderId="6" xfId="0" applyNumberFormat="1" applyFont="1" applyFill="1" applyBorder="1" applyAlignment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177" fontId="2" fillId="0" borderId="4" xfId="0" applyNumberFormat="1" applyFont="1" applyBorder="1" applyAlignment="1">
      <alignment horizontal="center"/>
    </xf>
    <xf numFmtId="177" fontId="2" fillId="0" borderId="5" xfId="0" applyNumberFormat="1" applyFont="1" applyBorder="1" applyAlignment="1">
      <alignment horizontal="center"/>
    </xf>
    <xf numFmtId="177" fontId="2" fillId="0" borderId="6" xfId="0" applyNumberFormat="1" applyFont="1" applyBorder="1" applyAlignment="1">
      <alignment horizontal="center"/>
    </xf>
    <xf numFmtId="0" fontId="2" fillId="0" borderId="8" xfId="0" applyFont="1" applyBorder="1"/>
    <xf numFmtId="176" fontId="2" fillId="2" borderId="9" xfId="0" applyNumberFormat="1" applyFont="1" applyFill="1" applyBorder="1" applyAlignment="1"/>
    <xf numFmtId="176" fontId="2" fillId="2" borderId="0" xfId="0" applyNumberFormat="1" applyFont="1" applyFill="1" applyBorder="1" applyAlignment="1"/>
    <xf numFmtId="176" fontId="2" fillId="2" borderId="10" xfId="0" applyNumberFormat="1" applyFont="1" applyFill="1" applyBorder="1" applyAlignment="1"/>
    <xf numFmtId="176" fontId="2" fillId="2" borderId="9" xfId="0" applyNumberFormat="1" applyFont="1" applyFill="1" applyBorder="1"/>
    <xf numFmtId="176" fontId="2" fillId="2" borderId="0" xfId="0" applyNumberFormat="1" applyFont="1" applyFill="1" applyBorder="1"/>
    <xf numFmtId="0" fontId="2" fillId="0" borderId="9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11" xfId="0" applyFont="1" applyBorder="1"/>
    <xf numFmtId="176" fontId="2" fillId="2" borderId="12" xfId="0" applyNumberFormat="1" applyFont="1" applyFill="1" applyBorder="1" applyAlignment="1"/>
    <xf numFmtId="176" fontId="2" fillId="2" borderId="13" xfId="0" applyNumberFormat="1" applyFont="1" applyFill="1" applyBorder="1" applyAlignment="1"/>
    <xf numFmtId="176" fontId="2" fillId="2" borderId="14" xfId="0" applyNumberFormat="1" applyFont="1" applyFill="1" applyBorder="1" applyAlignment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177" fontId="2" fillId="0" borderId="9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177" fontId="2" fillId="0" borderId="10" xfId="0" applyNumberFormat="1" applyFont="1" applyBorder="1" applyAlignment="1">
      <alignment horizontal="center"/>
    </xf>
    <xf numFmtId="10" fontId="2" fillId="0" borderId="0" xfId="0" applyNumberFormat="1" applyFont="1" applyBorder="1"/>
    <xf numFmtId="177" fontId="2" fillId="0" borderId="1" xfId="0" applyNumberFormat="1" applyFont="1" applyBorder="1" applyAlignment="1">
      <alignment horizontal="center"/>
    </xf>
    <xf numFmtId="177" fontId="2" fillId="0" borderId="2" xfId="0" applyNumberFormat="1" applyFont="1" applyBorder="1" applyAlignment="1">
      <alignment horizontal="center"/>
    </xf>
    <xf numFmtId="177" fontId="2" fillId="0" borderId="3" xfId="0" applyNumberFormat="1" applyFont="1" applyBorder="1" applyAlignment="1">
      <alignment horizontal="center"/>
    </xf>
    <xf numFmtId="176" fontId="2" fillId="0" borderId="0" xfId="0" applyNumberFormat="1" applyFont="1"/>
    <xf numFmtId="0" fontId="3" fillId="0" borderId="0" xfId="0" applyFont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177" fontId="4" fillId="0" borderId="13" xfId="0" applyNumberFormat="1" applyFont="1" applyBorder="1" applyAlignment="1">
      <alignment horizontal="center"/>
    </xf>
    <xf numFmtId="177" fontId="4" fillId="0" borderId="14" xfId="0" applyNumberFormat="1" applyFont="1" applyBorder="1" applyAlignment="1">
      <alignment horizontal="center"/>
    </xf>
    <xf numFmtId="0" fontId="3" fillId="0" borderId="7" xfId="0" applyFont="1" applyBorder="1"/>
    <xf numFmtId="0" fontId="0" fillId="3" borderId="0" xfId="0" applyFill="1"/>
    <xf numFmtId="0" fontId="0" fillId="0" borderId="0" xfId="0" applyBorder="1"/>
    <xf numFmtId="2" fontId="5" fillId="0" borderId="0" xfId="0" applyNumberFormat="1" applyFont="1"/>
    <xf numFmtId="0" fontId="5" fillId="0" borderId="0" xfId="0" applyFont="1"/>
    <xf numFmtId="178" fontId="5" fillId="0" borderId="0" xfId="0" applyNumberFormat="1" applyFont="1"/>
    <xf numFmtId="0" fontId="2" fillId="0" borderId="1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Fill="1" applyBorder="1"/>
    <xf numFmtId="0" fontId="2" fillId="0" borderId="8" xfId="0" applyFont="1" applyFill="1" applyBorder="1"/>
    <xf numFmtId="0" fontId="2" fillId="0" borderId="11" xfId="0" applyFont="1" applyFill="1" applyBorder="1"/>
    <xf numFmtId="0" fontId="2" fillId="4" borderId="7" xfId="0" applyFont="1" applyFill="1" applyBorder="1"/>
    <xf numFmtId="0" fontId="2" fillId="4" borderId="8" xfId="0" applyFont="1" applyFill="1" applyBorder="1"/>
    <xf numFmtId="0" fontId="2" fillId="4" borderId="11" xfId="0" applyFont="1" applyFill="1" applyBorder="1"/>
    <xf numFmtId="0" fontId="2" fillId="0" borderId="6" xfId="0" applyFont="1" applyBorder="1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176" fontId="2" fillId="4" borderId="4" xfId="0" applyNumberFormat="1" applyFont="1" applyFill="1" applyBorder="1"/>
    <xf numFmtId="176" fontId="2" fillId="4" borderId="5" xfId="0" applyNumberFormat="1" applyFont="1" applyFill="1" applyBorder="1"/>
    <xf numFmtId="176" fontId="2" fillId="4" borderId="6" xfId="0" applyNumberFormat="1" applyFont="1" applyFill="1" applyBorder="1" applyAlignment="1"/>
    <xf numFmtId="176" fontId="2" fillId="4" borderId="9" xfId="0" applyNumberFormat="1" applyFont="1" applyFill="1" applyBorder="1"/>
    <xf numFmtId="176" fontId="2" fillId="4" borderId="0" xfId="0" applyNumberFormat="1" applyFont="1" applyFill="1" applyBorder="1"/>
    <xf numFmtId="176" fontId="2" fillId="4" borderId="10" xfId="0" applyNumberFormat="1" applyFont="1" applyFill="1" applyBorder="1" applyAlignment="1"/>
    <xf numFmtId="176" fontId="2" fillId="4" borderId="12" xfId="0" applyNumberFormat="1" applyFont="1" applyFill="1" applyBorder="1"/>
    <xf numFmtId="176" fontId="2" fillId="4" borderId="13" xfId="0" applyNumberFormat="1" applyFont="1" applyFill="1" applyBorder="1"/>
    <xf numFmtId="176" fontId="2" fillId="4" borderId="14" xfId="0" applyNumberFormat="1" applyFont="1" applyFill="1" applyBorder="1" applyAlignment="1"/>
    <xf numFmtId="177" fontId="2" fillId="4" borderId="4" xfId="0" applyNumberFormat="1" applyFont="1" applyFill="1" applyBorder="1" applyAlignment="1">
      <alignment horizontal="center"/>
    </xf>
    <xf numFmtId="177" fontId="2" fillId="4" borderId="5" xfId="0" applyNumberFormat="1" applyFont="1" applyFill="1" applyBorder="1" applyAlignment="1">
      <alignment horizontal="center"/>
    </xf>
    <xf numFmtId="177" fontId="2" fillId="4" borderId="9" xfId="0" applyNumberFormat="1" applyFont="1" applyFill="1" applyBorder="1" applyAlignment="1">
      <alignment horizontal="center"/>
    </xf>
    <xf numFmtId="177" fontId="2" fillId="4" borderId="0" xfId="0" applyNumberFormat="1" applyFont="1" applyFill="1" applyBorder="1" applyAlignment="1">
      <alignment horizontal="center"/>
    </xf>
    <xf numFmtId="177" fontId="2" fillId="4" borderId="10" xfId="0" applyNumberFormat="1" applyFont="1" applyFill="1" applyBorder="1" applyAlignment="1">
      <alignment horizontal="center"/>
    </xf>
    <xf numFmtId="0" fontId="2" fillId="4" borderId="9" xfId="0" applyFont="1" applyFill="1" applyBorder="1"/>
    <xf numFmtId="0" fontId="2" fillId="4" borderId="0" xfId="0" applyFont="1" applyFill="1" applyBorder="1"/>
    <xf numFmtId="0" fontId="2" fillId="4" borderId="10" xfId="0" applyFont="1" applyFill="1" applyBorder="1"/>
    <xf numFmtId="0" fontId="2" fillId="4" borderId="12" xfId="0" applyFont="1" applyFill="1" applyBorder="1"/>
    <xf numFmtId="0" fontId="2" fillId="4" borderId="13" xfId="0" applyFont="1" applyFill="1" applyBorder="1"/>
    <xf numFmtId="0" fontId="2" fillId="4" borderId="14" xfId="0" applyFont="1" applyFill="1" applyBorder="1"/>
    <xf numFmtId="176" fontId="2" fillId="0" borderId="6" xfId="0" applyNumberFormat="1" applyFont="1" applyBorder="1"/>
    <xf numFmtId="9" fontId="2" fillId="0" borderId="0" xfId="0" applyNumberFormat="1" applyFont="1" applyBorder="1"/>
    <xf numFmtId="176" fontId="2" fillId="0" borderId="14" xfId="0" applyNumberFormat="1" applyFont="1" applyBorder="1"/>
    <xf numFmtId="176" fontId="2" fillId="0" borderId="4" xfId="0" applyNumberFormat="1" applyFont="1" applyBorder="1"/>
    <xf numFmtId="176" fontId="2" fillId="0" borderId="12" xfId="0" applyNumberFormat="1" applyFont="1" applyBorder="1"/>
    <xf numFmtId="9" fontId="2" fillId="0" borderId="1" xfId="0" applyNumberFormat="1" applyFont="1" applyBorder="1"/>
    <xf numFmtId="9" fontId="2" fillId="0" borderId="3" xfId="0" applyNumberFormat="1" applyFont="1" applyBorder="1"/>
    <xf numFmtId="176" fontId="2" fillId="4" borderId="4" xfId="0" applyNumberFormat="1" applyFont="1" applyFill="1" applyBorder="1" applyAlignment="1"/>
    <xf numFmtId="176" fontId="2" fillId="4" borderId="5" xfId="0" applyNumberFormat="1" applyFont="1" applyFill="1" applyBorder="1" applyAlignment="1"/>
    <xf numFmtId="0" fontId="2" fillId="4" borderId="0" xfId="0" applyFont="1" applyFill="1"/>
    <xf numFmtId="2" fontId="2" fillId="4" borderId="0" xfId="0" applyNumberFormat="1" applyFont="1" applyFill="1"/>
    <xf numFmtId="176" fontId="2" fillId="4" borderId="9" xfId="0" applyNumberFormat="1" applyFont="1" applyFill="1" applyBorder="1" applyAlignment="1"/>
    <xf numFmtId="176" fontId="2" fillId="4" borderId="0" xfId="0" applyNumberFormat="1" applyFont="1" applyFill="1" applyBorder="1" applyAlignment="1"/>
    <xf numFmtId="176" fontId="2" fillId="4" borderId="12" xfId="0" applyNumberFormat="1" applyFont="1" applyFill="1" applyBorder="1" applyAlignment="1"/>
    <xf numFmtId="176" fontId="2" fillId="4" borderId="13" xfId="0" applyNumberFormat="1" applyFont="1" applyFill="1" applyBorder="1" applyAlignment="1"/>
    <xf numFmtId="177" fontId="2" fillId="4" borderId="6" xfId="0" applyNumberFormat="1" applyFont="1" applyFill="1" applyBorder="1" applyAlignment="1">
      <alignment horizontal="center"/>
    </xf>
    <xf numFmtId="10" fontId="2" fillId="4" borderId="0" xfId="0" applyNumberFormat="1" applyFont="1" applyFill="1" applyBorder="1"/>
    <xf numFmtId="0" fontId="6" fillId="0" borderId="15" xfId="0" applyFont="1" applyBorder="1"/>
    <xf numFmtId="177" fontId="6" fillId="0" borderId="1" xfId="0" applyNumberFormat="1" applyFont="1" applyBorder="1" applyAlignment="1">
      <alignment horizontal="center"/>
    </xf>
    <xf numFmtId="177" fontId="6" fillId="0" borderId="2" xfId="0" applyNumberFormat="1" applyFont="1" applyBorder="1" applyAlignment="1">
      <alignment horizontal="center"/>
    </xf>
    <xf numFmtId="177" fontId="6" fillId="0" borderId="3" xfId="0" applyNumberFormat="1" applyFont="1" applyBorder="1" applyAlignment="1">
      <alignment horizontal="center"/>
    </xf>
    <xf numFmtId="179" fontId="2" fillId="0" borderId="9" xfId="0" applyNumberFormat="1" applyFont="1" applyBorder="1"/>
    <xf numFmtId="179" fontId="2" fillId="0" borderId="0" xfId="0" applyNumberFormat="1" applyFont="1" applyBorder="1"/>
    <xf numFmtId="179" fontId="2" fillId="0" borderId="12" xfId="0" applyNumberFormat="1" applyFont="1" applyBorder="1"/>
    <xf numFmtId="179" fontId="2" fillId="0" borderId="13" xfId="0" applyNumberFormat="1" applyFont="1" applyBorder="1"/>
    <xf numFmtId="179" fontId="2" fillId="0" borderId="9" xfId="0" applyNumberFormat="1" applyFont="1" applyBorder="1" applyAlignment="1">
      <alignment horizontal="center"/>
    </xf>
    <xf numFmtId="179" fontId="2" fillId="0" borderId="0" xfId="0" applyNumberFormat="1" applyFont="1" applyBorder="1" applyAlignment="1">
      <alignment horizontal="center"/>
    </xf>
    <xf numFmtId="179" fontId="2" fillId="0" borderId="10" xfId="0" applyNumberFormat="1" applyFont="1" applyBorder="1" applyAlignment="1">
      <alignment horizontal="center"/>
    </xf>
    <xf numFmtId="179" fontId="2" fillId="0" borderId="10" xfId="0" applyNumberFormat="1" applyFont="1" applyBorder="1"/>
    <xf numFmtId="179" fontId="2" fillId="0" borderId="14" xfId="0" applyNumberFormat="1" applyFont="1" applyBorder="1"/>
    <xf numFmtId="0" fontId="8" fillId="0" borderId="8" xfId="0" applyFont="1" applyBorder="1"/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6" xfId="0" applyNumberFormat="1" applyFont="1" applyBorder="1" applyAlignment="1">
      <alignment horizontal="center"/>
    </xf>
    <xf numFmtId="10" fontId="2" fillId="0" borderId="9" xfId="0" applyNumberFormat="1" applyFont="1" applyBorder="1"/>
    <xf numFmtId="10" fontId="2" fillId="0" borderId="10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10" fontId="2" fillId="0" borderId="14" xfId="0" applyNumberFormat="1" applyFont="1" applyBorder="1"/>
    <xf numFmtId="177" fontId="2" fillId="0" borderId="0" xfId="0" applyNumberFormat="1" applyFont="1"/>
    <xf numFmtId="10" fontId="2" fillId="0" borderId="1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3" xfId="0" applyNumberFormat="1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9" fontId="2" fillId="0" borderId="9" xfId="0" applyNumberFormat="1" applyFont="1" applyBorder="1" applyAlignment="1">
      <alignment horizontal="center"/>
    </xf>
    <xf numFmtId="9" fontId="2" fillId="0" borderId="0" xfId="0" applyNumberFormat="1" applyFont="1" applyBorder="1" applyAlignment="1">
      <alignment horizontal="center"/>
    </xf>
    <xf numFmtId="9" fontId="2" fillId="0" borderId="10" xfId="0" applyNumberFormat="1" applyFont="1" applyBorder="1" applyAlignment="1">
      <alignment horizontal="center"/>
    </xf>
    <xf numFmtId="9" fontId="2" fillId="0" borderId="12" xfId="0" applyNumberFormat="1" applyFont="1" applyBorder="1" applyAlignment="1">
      <alignment horizontal="center"/>
    </xf>
    <xf numFmtId="9" fontId="2" fillId="0" borderId="13" xfId="0" applyNumberFormat="1" applyFont="1" applyBorder="1" applyAlignment="1">
      <alignment horizontal="center"/>
    </xf>
    <xf numFmtId="9" fontId="2" fillId="0" borderId="14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</cellXfs>
  <cellStyles count="1">
    <cellStyle name="常规" xfId="0" builtinId="0"/>
  </cellStyles>
  <dxfs count="6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A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'AI-Main'!$Z$3:$Z$6</c:f>
              <c:numCache>
                <c:formatCode>General</c:formatCode>
                <c:ptCount val="4"/>
                <c:pt idx="0">
                  <c:v>1.7354602510212824E-3</c:v>
                </c:pt>
                <c:pt idx="1">
                  <c:v>2.5739825428541343E-3</c:v>
                </c:pt>
                <c:pt idx="2">
                  <c:v>3.1530087974114178E-3</c:v>
                </c:pt>
                <c:pt idx="3">
                  <c:v>3.2100355158433827E-3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'AI-Main'!$Z$7:$Z$10</c:f>
              <c:numCache>
                <c:formatCode>General</c:formatCode>
                <c:ptCount val="4"/>
                <c:pt idx="0">
                  <c:v>2.2824056968114904E-3</c:v>
                </c:pt>
                <c:pt idx="1">
                  <c:v>3.3979850641392946E-3</c:v>
                </c:pt>
                <c:pt idx="2">
                  <c:v>5.6848029114562239E-3</c:v>
                </c:pt>
                <c:pt idx="3">
                  <c:v>5.9792696749182824E-3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'AI-Main'!$Z$11:$Z$14</c:f>
              <c:numCache>
                <c:formatCode>General</c:formatCode>
                <c:ptCount val="4"/>
                <c:pt idx="0">
                  <c:v>4.1840788795242603E-4</c:v>
                </c:pt>
                <c:pt idx="1">
                  <c:v>4.9503526470304887E-4</c:v>
                </c:pt>
                <c:pt idx="2">
                  <c:v>6.2646259438833602E-4</c:v>
                </c:pt>
                <c:pt idx="3">
                  <c:v>1.3757666661717077E-3</c:v>
                </c:pt>
              </c:numCache>
            </c:numRef>
          </c:yVal>
          <c:smooth val="1"/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'AI-Main'!$Z$15:$Z$18</c:f>
              <c:numCache>
                <c:formatCode>General</c:formatCode>
                <c:ptCount val="4"/>
                <c:pt idx="0">
                  <c:v>-2.5483732973577536E-4</c:v>
                </c:pt>
                <c:pt idx="1">
                  <c:v>2.0437170211374039E-3</c:v>
                </c:pt>
                <c:pt idx="2">
                  <c:v>2.9521857314735744E-3</c:v>
                </c:pt>
                <c:pt idx="3">
                  <c:v>4.6580240677938792E-3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42208"/>
        <c:axId val="289842768"/>
      </c:scatterChart>
      <c:valAx>
        <c:axId val="289842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9842768"/>
        <c:crosses val="autoZero"/>
        <c:crossBetween val="midCat"/>
      </c:valAx>
      <c:valAx>
        <c:axId val="289842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9842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 B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'AI-Main'!$Z$19:$Z$22</c:f>
              <c:numCache>
                <c:formatCode>General</c:formatCode>
                <c:ptCount val="4"/>
                <c:pt idx="0">
                  <c:v>2.6844335468905318E-4</c:v>
                </c:pt>
                <c:pt idx="1">
                  <c:v>1.4341693152535285E-3</c:v>
                </c:pt>
                <c:pt idx="2">
                  <c:v>1.3720874263124898E-3</c:v>
                </c:pt>
                <c:pt idx="3">
                  <c:v>2.192497234235152E-3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'AI-Main'!$Z$19:$Z$22</c:f>
              <c:numCache>
                <c:formatCode>General</c:formatCode>
                <c:ptCount val="4"/>
                <c:pt idx="0">
                  <c:v>2.6844335468905318E-4</c:v>
                </c:pt>
                <c:pt idx="1">
                  <c:v>1.4341693152535285E-3</c:v>
                </c:pt>
                <c:pt idx="2">
                  <c:v>1.3720874263124898E-3</c:v>
                </c:pt>
                <c:pt idx="3">
                  <c:v>2.192497234235152E-3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'AI-Main'!$Z$23:$Z$26</c:f>
              <c:numCache>
                <c:formatCode>General</c:formatCode>
                <c:ptCount val="4"/>
                <c:pt idx="0">
                  <c:v>3.1685528911149489E-4</c:v>
                </c:pt>
                <c:pt idx="1">
                  <c:v>-6.2927328611444482E-4</c:v>
                </c:pt>
                <c:pt idx="2">
                  <c:v>-7.4607858522958141E-5</c:v>
                </c:pt>
                <c:pt idx="3">
                  <c:v>8.9853614577771251E-4</c:v>
                </c:pt>
              </c:numCache>
            </c:numRef>
          </c:yVal>
          <c:smooth val="1"/>
        </c:ser>
        <c:ser>
          <c:idx val="4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'AI-Main'!$Z$27:$Z$30</c:f>
              <c:numCache>
                <c:formatCode>General</c:formatCode>
                <c:ptCount val="4"/>
                <c:pt idx="0">
                  <c:v>8.337288934947986E-4</c:v>
                </c:pt>
                <c:pt idx="1">
                  <c:v>2.2319716959274313E-3</c:v>
                </c:pt>
                <c:pt idx="2">
                  <c:v>7.4399101733549702E-4</c:v>
                </c:pt>
                <c:pt idx="3">
                  <c:v>2.9377946579928586E-3</c:v>
                </c:pt>
              </c:numCache>
            </c:numRef>
          </c:yVal>
          <c:smooth val="1"/>
        </c:ser>
        <c:ser>
          <c:idx val="5"/>
          <c:order val="4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'AI-Main'!$Z$31:$Z$34</c:f>
              <c:numCache>
                <c:formatCode>General</c:formatCode>
                <c:ptCount val="4"/>
                <c:pt idx="0">
                  <c:v>5.7869752003633223E-4</c:v>
                </c:pt>
                <c:pt idx="1">
                  <c:v>3.0031669760838702E-3</c:v>
                </c:pt>
                <c:pt idx="2">
                  <c:v>3.7154355445930013E-3</c:v>
                </c:pt>
                <c:pt idx="3">
                  <c:v>2.7478393256654102E-3</c:v>
                </c:pt>
              </c:numCache>
            </c:numRef>
          </c:yVal>
          <c:smooth val="1"/>
        </c:ser>
        <c:ser>
          <c:idx val="0"/>
          <c:order val="5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'AI-Main'!$Z$35:$Z$38</c:f>
              <c:numCache>
                <c:formatCode>General</c:formatCode>
                <c:ptCount val="4"/>
                <c:pt idx="0">
                  <c:v>8.037439527141195E-4</c:v>
                </c:pt>
                <c:pt idx="1">
                  <c:v>3.1448481855854468E-3</c:v>
                </c:pt>
                <c:pt idx="2">
                  <c:v>5.3606237816763895E-3</c:v>
                </c:pt>
                <c:pt idx="3">
                  <c:v>4.5823901817924973E-3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847808"/>
        <c:axId val="289848368"/>
      </c:scatterChart>
      <c:valAx>
        <c:axId val="28984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9848368"/>
        <c:crosses val="autoZero"/>
        <c:crossBetween val="midCat"/>
      </c:valAx>
      <c:valAx>
        <c:axId val="28984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89847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'AI-Main'!$Z$39:$Z$42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'AI-Main'!$Z$43:$Z$46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'AI-Main'!$Z$47:$Z$50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'AI-Main'!$Z$51:$Z$54</c:f>
              <c:numCache>
                <c:formatCode>General</c:formatCode>
                <c:ptCount val="4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665616"/>
        <c:axId val="290666176"/>
      </c:scatterChart>
      <c:valAx>
        <c:axId val="290665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0666176"/>
        <c:crosses val="autoZero"/>
        <c:crossBetween val="midCat"/>
      </c:valAx>
      <c:valAx>
        <c:axId val="290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0665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D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'AI-Main'!$Z$55:$Z$58</c:f>
              <c:numCache>
                <c:formatCode>General</c:formatCode>
                <c:ptCount val="4"/>
                <c:pt idx="0">
                  <c:v>2.0639499451509066E-3</c:v>
                </c:pt>
                <c:pt idx="1">
                  <c:v>6.4140422200551564E-3</c:v>
                </c:pt>
                <c:pt idx="2">
                  <c:v>-9.600844874353855E-5</c:v>
                </c:pt>
                <c:pt idx="3">
                  <c:v>2.2174877168572148E-3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'AI-Main'!$Z$59:$Z$62</c:f>
              <c:numCache>
                <c:formatCode>General</c:formatCode>
                <c:ptCount val="4"/>
                <c:pt idx="0">
                  <c:v>1.5491464869953466E-3</c:v>
                </c:pt>
                <c:pt idx="1">
                  <c:v>-6.2730475872222586E-4</c:v>
                </c:pt>
                <c:pt idx="2">
                  <c:v>3.0798161704741331E-3</c:v>
                </c:pt>
                <c:pt idx="3">
                  <c:v>2.0406180157419877E-3</c:v>
                </c:pt>
              </c:numCache>
            </c:numRef>
          </c:yVal>
          <c:smooth val="1"/>
        </c:ser>
        <c:ser>
          <c:idx val="3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'AI-Main'!$Z$63:$Z$66</c:f>
              <c:numCache>
                <c:formatCode>General</c:formatCode>
                <c:ptCount val="4"/>
                <c:pt idx="0">
                  <c:v>9.7128030531849145E-4</c:v>
                </c:pt>
                <c:pt idx="1">
                  <c:v>2.7686412616144498E-3</c:v>
                </c:pt>
                <c:pt idx="2">
                  <c:v>3.4993505360502199E-3</c:v>
                </c:pt>
                <c:pt idx="3">
                  <c:v>4.1626999682664468E-3</c:v>
                </c:pt>
              </c:numCache>
            </c:numRef>
          </c:yVal>
          <c:smooth val="1"/>
        </c:ser>
        <c:ser>
          <c:idx val="0"/>
          <c:order val="3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'AI-Main'!$Z$67:$Z$70</c:f>
              <c:numCache>
                <c:formatCode>General</c:formatCode>
                <c:ptCount val="4"/>
                <c:pt idx="0">
                  <c:v>3.2628563633883192E-3</c:v>
                </c:pt>
                <c:pt idx="1">
                  <c:v>3.109267243327224E-3</c:v>
                </c:pt>
                <c:pt idx="2">
                  <c:v>3.0433430960288884E-3</c:v>
                </c:pt>
                <c:pt idx="3">
                  <c:v>-6.4451677354905601E-5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52592"/>
        <c:axId val="291253152"/>
      </c:scatterChart>
      <c:valAx>
        <c:axId val="29125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1253152"/>
        <c:crosses val="autoZero"/>
        <c:crossBetween val="midCat"/>
      </c:valAx>
      <c:valAx>
        <c:axId val="2912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12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class</a:t>
            </a:r>
            <a:r>
              <a:rPr lang="en-US" altLang="zh-CN" baseline="0"/>
              <a:t> E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'AI-Main'!$Z$71:$Z$74</c:f>
              <c:numCache>
                <c:formatCode>General</c:formatCode>
                <c:ptCount val="4"/>
                <c:pt idx="0">
                  <c:v>2.7615589722114922E-3</c:v>
                </c:pt>
                <c:pt idx="1">
                  <c:v>2.6699713599002413E-3</c:v>
                </c:pt>
                <c:pt idx="2">
                  <c:v>2.6640405035162824E-3</c:v>
                </c:pt>
                <c:pt idx="3">
                  <c:v>3.790162207856012E-3</c:v>
                </c:pt>
              </c:numCache>
            </c:numRef>
          </c:yVal>
          <c:smooth val="1"/>
        </c:ser>
        <c:ser>
          <c:idx val="2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'AI-Main'!$Z$75:$Z$78</c:f>
              <c:numCache>
                <c:formatCode>General</c:formatCode>
                <c:ptCount val="4"/>
                <c:pt idx="0">
                  <c:v>4.1885316286614099E-3</c:v>
                </c:pt>
                <c:pt idx="1">
                  <c:v>2.4356490451148747E-3</c:v>
                </c:pt>
                <c:pt idx="2">
                  <c:v>2.5647506616313922E-3</c:v>
                </c:pt>
                <c:pt idx="3">
                  <c:v>4.9023402224113765E-3</c:v>
                </c:pt>
              </c:numCache>
            </c:numRef>
          </c:yVal>
          <c:smooth val="1"/>
        </c:ser>
        <c:ser>
          <c:idx val="0"/>
          <c:order val="2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'AI-Main'!$Z$79:$Z$82</c:f>
              <c:numCache>
                <c:formatCode>General</c:formatCode>
                <c:ptCount val="4"/>
                <c:pt idx="0">
                  <c:v>3.8695854479348381E-3</c:v>
                </c:pt>
                <c:pt idx="1">
                  <c:v>3.6940020405652656E-3</c:v>
                </c:pt>
                <c:pt idx="2">
                  <c:v>5.8500149387511434E-3</c:v>
                </c:pt>
                <c:pt idx="3">
                  <c:v>3.8205619286433594E-3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56512"/>
        <c:axId val="291257072"/>
      </c:scatterChart>
      <c:valAx>
        <c:axId val="29125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1257072"/>
        <c:crosses val="autoZero"/>
        <c:crossBetween val="midCat"/>
      </c:valAx>
      <c:valAx>
        <c:axId val="29125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1256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Y PSNR vs Bitrate</a:t>
            </a:r>
          </a:p>
        </c:rich>
      </c:tx>
      <c:layout>
        <c:manualLayout>
          <c:xMode val="edge"/>
          <c:yMode val="edge"/>
          <c:x val="0.42148731408573931"/>
          <c:y val="3.14136433880344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12440938996814E-2"/>
          <c:y val="0.12523375915756349"/>
          <c:w val="0.87407512788764452"/>
          <c:h val="0.7570100366987103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11654.72</c:v>
                </c:pt>
                <c:pt idx="1">
                  <c:v>7223.76</c:v>
                </c:pt>
                <c:pt idx="2">
                  <c:v>4126.4799999999996</c:v>
                </c:pt>
                <c:pt idx="3">
                  <c:v>2142.84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41.0246</c:v>
                </c:pt>
                <c:pt idx="1">
                  <c:v>36.7072</c:v>
                </c:pt>
                <c:pt idx="2">
                  <c:v>32.691600000000001</c:v>
                </c:pt>
                <c:pt idx="3">
                  <c:v>29.133800000000001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41.020699999999998</c:v>
                </c:pt>
                <c:pt idx="1">
                  <c:v>36.706499999999998</c:v>
                </c:pt>
                <c:pt idx="2">
                  <c:v>32.703000000000003</c:v>
                </c:pt>
                <c:pt idx="3">
                  <c:v>29.141100000000002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27824"/>
        <c:axId val="292528384"/>
      </c:scatterChart>
      <c:valAx>
        <c:axId val="292527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463"/>
              <c:y val="0.92931949861407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528384"/>
        <c:crosses val="autoZero"/>
        <c:crossBetween val="midCat"/>
      </c:valAx>
      <c:valAx>
        <c:axId val="292528384"/>
        <c:scaling>
          <c:orientation val="minMax"/>
          <c:max val="41.5"/>
          <c:min val="3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5987E-2"/>
              <c:y val="0.421466185885646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52782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71"/>
          <c:y val="0.80000078494861038"/>
          <c:w val="0.26666692589352281"/>
          <c:h val="7.66355140186916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U PSNR vs Bitrate</a:t>
            </a:r>
          </a:p>
        </c:rich>
      </c:tx>
      <c:layout>
        <c:manualLayout>
          <c:xMode val="edge"/>
          <c:yMode val="edge"/>
          <c:x val="0.41887453808694375"/>
          <c:y val="3.13316422039424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110012360939438E-2"/>
          <c:y val="0.13035405456030091"/>
          <c:w val="0.87391841779975465"/>
          <c:h val="0.752329114890881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11654.72</c:v>
                </c:pt>
                <c:pt idx="1">
                  <c:v>7223.76</c:v>
                </c:pt>
                <c:pt idx="2">
                  <c:v>4126.4799999999996</c:v>
                </c:pt>
                <c:pt idx="3">
                  <c:v>2142.84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42.058100000000003</c:v>
                </c:pt>
                <c:pt idx="1">
                  <c:v>38.844299999999997</c:v>
                </c:pt>
                <c:pt idx="2">
                  <c:v>36.528100000000002</c:v>
                </c:pt>
                <c:pt idx="3">
                  <c:v>34.945399999999999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42.067</c:v>
                </c:pt>
                <c:pt idx="1">
                  <c:v>38.876800000000003</c:v>
                </c:pt>
                <c:pt idx="2">
                  <c:v>36.557600000000001</c:v>
                </c:pt>
                <c:pt idx="3">
                  <c:v>34.984299999999998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32304"/>
        <c:axId val="292532864"/>
      </c:scatterChart>
      <c:valAx>
        <c:axId val="29253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905"/>
              <c:y val="0.929504733695997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532864"/>
        <c:crosses val="autoZero"/>
        <c:crossBetween val="midCat"/>
      </c:valAx>
      <c:valAx>
        <c:axId val="292532864"/>
        <c:scaling>
          <c:orientation val="minMax"/>
          <c:max val="43.5"/>
          <c:min val="3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5E-2"/>
              <c:y val="0.420365890017939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53230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3066"/>
          <c:y val="0.79143526053656699"/>
          <c:w val="0.27194066749072932"/>
          <c:h val="7.635028861615766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V PSNR vs Bitrate</a:t>
            </a:r>
          </a:p>
        </c:rich>
      </c:tx>
      <c:layout>
        <c:manualLayout>
          <c:xMode val="edge"/>
          <c:yMode val="edge"/>
          <c:x val="0.4205301902157163"/>
          <c:y val="3.1331531319779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998763906057474E-2"/>
          <c:y val="0.13059701492537321"/>
          <c:w val="0.86526576019777501"/>
          <c:h val="0.753731343283587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11654.72</c:v>
                </c:pt>
                <c:pt idx="1">
                  <c:v>7223.76</c:v>
                </c:pt>
                <c:pt idx="2">
                  <c:v>4126.4799999999996</c:v>
                </c:pt>
                <c:pt idx="3">
                  <c:v>2142.84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42.734400000000001</c:v>
                </c:pt>
                <c:pt idx="1">
                  <c:v>39.378399999999999</c:v>
                </c:pt>
                <c:pt idx="2">
                  <c:v>37.020699999999998</c:v>
                </c:pt>
                <c:pt idx="3">
                  <c:v>35.393799999999999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42.757800000000003</c:v>
                </c:pt>
                <c:pt idx="1">
                  <c:v>39.372799999999998</c:v>
                </c:pt>
                <c:pt idx="2">
                  <c:v>37.0015</c:v>
                </c:pt>
                <c:pt idx="3">
                  <c:v>35.378500000000003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25584"/>
        <c:axId val="292726144"/>
      </c:scatterChart>
      <c:valAx>
        <c:axId val="29272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888"/>
              <c:y val="0.929504642143612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726144"/>
        <c:crosses val="autoZero"/>
        <c:crossBetween val="midCat"/>
      </c:valAx>
      <c:valAx>
        <c:axId val="292726144"/>
        <c:scaling>
          <c:orientation val="minMax"/>
          <c:max val="44.5"/>
          <c:min val="36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8117E-2"/>
              <c:y val="0.422976848043250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7255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1034"/>
          <c:y val="0.80223880597014929"/>
          <c:w val="0.27194066749072932"/>
          <c:h val="7.64925373134333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GB"/>
              <a:t>Y PSNR vs Bitrate (in log scale)</a:t>
            </a:r>
          </a:p>
        </c:rich>
      </c:tx>
      <c:layout>
        <c:manualLayout>
          <c:xMode val="edge"/>
          <c:yMode val="edge"/>
          <c:x val="0.36303620493800787"/>
          <c:y val="3.13315313197792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148013729682277E-2"/>
          <c:y val="0.125"/>
          <c:w val="0.85573417735999524"/>
          <c:h val="0.757462686567164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'Summary (A-E)'!$K$2</c:f>
              <c:strCache>
                <c:ptCount val="1"/>
                <c:pt idx="0">
                  <c:v>HEVC HM15.0_RExt7.3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11654.72</c:v>
                </c:pt>
                <c:pt idx="1">
                  <c:v>7223.76</c:v>
                </c:pt>
                <c:pt idx="2">
                  <c:v>4126.4799999999996</c:v>
                </c:pt>
                <c:pt idx="3">
                  <c:v>2142.84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41.0246</c:v>
                </c:pt>
                <c:pt idx="1">
                  <c:v>36.7072</c:v>
                </c:pt>
                <c:pt idx="2">
                  <c:v>32.691600000000001</c:v>
                </c:pt>
                <c:pt idx="3">
                  <c:v>29.133800000000001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'Summary (A-E)'!$K$3</c:f>
              <c:strCache>
                <c:ptCount val="1"/>
                <c:pt idx="0">
                  <c:v>HEVC HM16.0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11666.04</c:v>
                </c:pt>
                <c:pt idx="1">
                  <c:v>7243.76</c:v>
                </c:pt>
                <c:pt idx="2">
                  <c:v>4140.92</c:v>
                </c:pt>
                <c:pt idx="3">
                  <c:v>2151.7600000000002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41.020699999999998</c:v>
                </c:pt>
                <c:pt idx="1">
                  <c:v>36.706499999999998</c:v>
                </c:pt>
                <c:pt idx="2">
                  <c:v>32.703000000000003</c:v>
                </c:pt>
                <c:pt idx="3">
                  <c:v>29.141100000000002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729504"/>
        <c:axId val="292730064"/>
      </c:scatterChart>
      <c:valAx>
        <c:axId val="292729504"/>
        <c:scaling>
          <c:logBase val="10"/>
          <c:orientation val="minMax"/>
          <c:max val="10000"/>
          <c:min val="10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76"/>
              <c:y val="0.929504642143612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730064"/>
        <c:crosses val="autoZero"/>
        <c:crossBetween val="midCat"/>
      </c:valAx>
      <c:valAx>
        <c:axId val="292730064"/>
        <c:scaling>
          <c:orientation val="minMax"/>
          <c:max val="43"/>
          <c:min val="3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29E-2"/>
              <c:y val="0.4229768480432501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9272950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694"/>
          <c:y val="0.79477611940298509"/>
          <c:w val="0.27127016644497737"/>
          <c:h val="7.649253731343337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000000000000266" r="0.75000000000000266" t="1" header="0.5" footer="0.5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428625</xdr:colOff>
      <xdr:row>1</xdr:row>
      <xdr:rowOff>147637</xdr:rowOff>
    </xdr:from>
    <xdr:to>
      <xdr:col>32</xdr:col>
      <xdr:colOff>28575</xdr:colOff>
      <xdr:row>19</xdr:row>
      <xdr:rowOff>100012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421585</xdr:colOff>
      <xdr:row>18</xdr:row>
      <xdr:rowOff>32095</xdr:rowOff>
    </xdr:from>
    <xdr:to>
      <xdr:col>32</xdr:col>
      <xdr:colOff>21535</xdr:colOff>
      <xdr:row>35</xdr:row>
      <xdr:rowOff>146395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352425</xdr:colOff>
      <xdr:row>34</xdr:row>
      <xdr:rowOff>100012</xdr:rowOff>
    </xdr:from>
    <xdr:to>
      <xdr:col>31</xdr:col>
      <xdr:colOff>781050</xdr:colOff>
      <xdr:row>52</xdr:row>
      <xdr:rowOff>61912</xdr:rowOff>
    </xdr:to>
    <xdr:graphicFrame macro="">
      <xdr:nvGraphicFramePr>
        <xdr:cNvPr id="15" name="图表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390525</xdr:colOff>
      <xdr:row>52</xdr:row>
      <xdr:rowOff>23812</xdr:rowOff>
    </xdr:from>
    <xdr:to>
      <xdr:col>31</xdr:col>
      <xdr:colOff>819150</xdr:colOff>
      <xdr:row>69</xdr:row>
      <xdr:rowOff>138112</xdr:rowOff>
    </xdr:to>
    <xdr:graphicFrame macro="">
      <xdr:nvGraphicFramePr>
        <xdr:cNvPr id="23" name="图表 2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69</xdr:row>
      <xdr:rowOff>23812</xdr:rowOff>
    </xdr:from>
    <xdr:to>
      <xdr:col>31</xdr:col>
      <xdr:colOff>752475</xdr:colOff>
      <xdr:row>86</xdr:row>
      <xdr:rowOff>128587</xdr:rowOff>
    </xdr:to>
    <xdr:graphicFrame macro="">
      <xdr:nvGraphicFramePr>
        <xdr:cNvPr id="27" name="图表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268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268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2686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2687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0.08239</cdr:y>
    </cdr:from>
    <cdr:to>
      <cdr:x>0.76495</cdr:x>
      <cdr:y>0.12916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0.08435</cdr:y>
    </cdr:from>
    <cdr:to>
      <cdr:x>0.77062</cdr:x>
      <cdr:y>0.13283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0.09121</cdr:y>
    </cdr:from>
    <cdr:to>
      <cdr:x>0.75805</cdr:x>
      <cdr:y>0.13747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AI-Main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anloving\AppData\Roaming\Microsoft\AddIns\bdrate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AI_main"/>
      <sheetName val="RA-main"/>
      <sheetName val="AI时间复杂度"/>
      <sheetName val="bdrate"/>
    </sheetNames>
    <definedNames>
      <definedName name="bdrate"/>
      <definedName name="bdrateOld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K52"/>
  <sheetViews>
    <sheetView workbookViewId="0"/>
  </sheetViews>
  <sheetFormatPr defaultColWidth="10.875" defaultRowHeight="12" x14ac:dyDescent="0.2"/>
  <cols>
    <col min="1" max="1" width="4.125" style="1" customWidth="1"/>
    <col min="2" max="2" width="10.875" style="1" customWidth="1"/>
    <col min="3" max="8" width="8.875" style="1" customWidth="1"/>
    <col min="9" max="10" width="10.875" style="1"/>
    <col min="11" max="11" width="34" style="1" bestFit="1" customWidth="1"/>
    <col min="12" max="16384" width="10.875" style="1"/>
  </cols>
  <sheetData>
    <row r="1" spans="2:11" ht="12.75" thickBot="1" x14ac:dyDescent="0.25"/>
    <row r="2" spans="2:11" x14ac:dyDescent="0.2">
      <c r="C2" s="137" t="s">
        <v>69</v>
      </c>
      <c r="D2" s="138"/>
      <c r="E2" s="139"/>
      <c r="F2" s="137" t="s">
        <v>73</v>
      </c>
      <c r="G2" s="138"/>
      <c r="H2" s="139"/>
      <c r="J2" s="49" t="s">
        <v>48</v>
      </c>
      <c r="K2" s="49" t="s">
        <v>101</v>
      </c>
    </row>
    <row r="3" spans="2:11" ht="12.75" thickBot="1" x14ac:dyDescent="0.25">
      <c r="C3" s="50" t="s">
        <v>38</v>
      </c>
      <c r="D3" s="51" t="s">
        <v>39</v>
      </c>
      <c r="E3" s="52" t="s">
        <v>40</v>
      </c>
      <c r="F3" s="50" t="s">
        <v>38</v>
      </c>
      <c r="G3" s="51" t="s">
        <v>39</v>
      </c>
      <c r="H3" s="52" t="s">
        <v>40</v>
      </c>
      <c r="J3" s="49" t="s">
        <v>49</v>
      </c>
      <c r="K3" s="49" t="s">
        <v>102</v>
      </c>
    </row>
    <row r="4" spans="2:11" x14ac:dyDescent="0.2">
      <c r="B4" s="13" t="s">
        <v>99</v>
      </c>
      <c r="C4" s="20">
        <f>'AI-Main'!T100</f>
        <v>3.3358902565019388E-3</v>
      </c>
      <c r="D4" s="21">
        <f>'AI-Main'!U100</f>
        <v>1.0584571873093029E-2</v>
      </c>
      <c r="E4" s="22">
        <f>'AI-Main'!V100</f>
        <v>1.1999366073238371E-2</v>
      </c>
      <c r="F4" s="20">
        <f>'AI-HE10'!T100</f>
        <v>0</v>
      </c>
      <c r="G4" s="21">
        <f>'AI-HE10'!U100</f>
        <v>0</v>
      </c>
      <c r="H4" s="22">
        <f>'AI-HE10'!V100</f>
        <v>0</v>
      </c>
    </row>
    <row r="5" spans="2:11" x14ac:dyDescent="0.2">
      <c r="B5" s="23" t="s">
        <v>7</v>
      </c>
      <c r="C5" s="41">
        <f>'AI-Main'!T101</f>
        <v>2.3015972437397279E-3</v>
      </c>
      <c r="D5" s="42">
        <f>'AI-Main'!U101</f>
        <v>9.7283310623409672E-3</v>
      </c>
      <c r="E5" s="43">
        <f>'AI-Main'!V101</f>
        <v>1.1741249823849342E-2</v>
      </c>
      <c r="F5" s="41">
        <f>'AI-HE10'!T101</f>
        <v>0</v>
      </c>
      <c r="G5" s="42">
        <f>'AI-HE10'!U101</f>
        <v>0</v>
      </c>
      <c r="H5" s="43">
        <f>'AI-HE10'!V101</f>
        <v>0</v>
      </c>
    </row>
    <row r="6" spans="2:11" x14ac:dyDescent="0.2">
      <c r="B6" s="23" t="s">
        <v>14</v>
      </c>
      <c r="C6" s="41" t="e">
        <f>'AI-Main'!T102</f>
        <v>#VALUE!</v>
      </c>
      <c r="D6" s="42" t="e">
        <f>'AI-Main'!U102</f>
        <v>#VALUE!</v>
      </c>
      <c r="E6" s="43" t="e">
        <f>'AI-Main'!V102</f>
        <v>#VALUE!</v>
      </c>
      <c r="F6" s="41">
        <f>'AI-HE10'!T102</f>
        <v>0</v>
      </c>
      <c r="G6" s="42">
        <f>'AI-HE10'!U102</f>
        <v>0</v>
      </c>
      <c r="H6" s="43">
        <f>'AI-HE10'!V102</f>
        <v>0</v>
      </c>
    </row>
    <row r="7" spans="2:11" x14ac:dyDescent="0.2">
      <c r="B7" s="23" t="s">
        <v>20</v>
      </c>
      <c r="C7" s="41">
        <f>'AI-Main'!T103</f>
        <v>2.8187047783503338E-3</v>
      </c>
      <c r="D7" s="42">
        <f>'AI-Main'!U103</f>
        <v>3.0780411262649465E-3</v>
      </c>
      <c r="E7" s="43">
        <f>'AI-Main'!V103</f>
        <v>4.6190199588535541E-3</v>
      </c>
      <c r="F7" s="41">
        <f>'AI-HE10'!T103</f>
        <v>0</v>
      </c>
      <c r="G7" s="42">
        <f>'AI-HE10'!U103</f>
        <v>0</v>
      </c>
      <c r="H7" s="43">
        <f>'AI-HE10'!V103</f>
        <v>0</v>
      </c>
    </row>
    <row r="8" spans="2:11" ht="12.75" thickBot="1" x14ac:dyDescent="0.25">
      <c r="B8" s="23" t="s">
        <v>27</v>
      </c>
      <c r="C8" s="41">
        <f>'AI-Main'!T104</f>
        <v>5.6325296906992355E-3</v>
      </c>
      <c r="D8" s="42">
        <f>'AI-Main'!U104</f>
        <v>8.8342058979988813E-3</v>
      </c>
      <c r="E8" s="43">
        <f>'AI-Main'!V104</f>
        <v>1.3399011834956287E-2</v>
      </c>
      <c r="F8" s="41">
        <f>'AI-HE10'!T104</f>
        <v>0</v>
      </c>
      <c r="G8" s="42">
        <f>'AI-HE10'!U104</f>
        <v>0</v>
      </c>
      <c r="H8" s="43">
        <f>'AI-HE10'!V104</f>
        <v>0</v>
      </c>
    </row>
    <row r="9" spans="2:11" x14ac:dyDescent="0.2">
      <c r="B9" s="55" t="s">
        <v>41</v>
      </c>
      <c r="C9" s="21" t="e">
        <f>'AI-Main'!T112</f>
        <v>#VALUE!</v>
      </c>
      <c r="D9" s="21" t="e">
        <f>'AI-Main'!U112</f>
        <v>#VALUE!</v>
      </c>
      <c r="E9" s="22" t="e">
        <f>'AI-Main'!V112</f>
        <v>#VALUE!</v>
      </c>
      <c r="F9" s="21">
        <f>'AI-HE10'!T112</f>
        <v>0</v>
      </c>
      <c r="G9" s="21">
        <f>'AI-HE10'!U112</f>
        <v>0</v>
      </c>
      <c r="H9" s="22">
        <f>'AI-HE10'!V112</f>
        <v>0</v>
      </c>
      <c r="J9" s="49" t="s">
        <v>46</v>
      </c>
    </row>
    <row r="10" spans="2:11" ht="12.75" thickBot="1" x14ac:dyDescent="0.25">
      <c r="B10" s="32"/>
      <c r="C10" s="53" t="e">
        <f ca="1">'AI-Main'!W112</f>
        <v>#NAME?</v>
      </c>
      <c r="D10" s="53" t="e">
        <f ca="1">'AI-Main'!X112</f>
        <v>#NAME?</v>
      </c>
      <c r="E10" s="54" t="e">
        <f ca="1">'AI-Main'!Y112</f>
        <v>#NAME?</v>
      </c>
      <c r="F10" s="53">
        <f>'AI-HE10'!W112</f>
        <v>0</v>
      </c>
      <c r="G10" s="53">
        <f>'AI-HE10'!X112</f>
        <v>0</v>
      </c>
      <c r="H10" s="54">
        <f>'AI-HE10'!Y112</f>
        <v>0</v>
      </c>
      <c r="J10" s="1" t="s">
        <v>47</v>
      </c>
    </row>
    <row r="11" spans="2:11" ht="12.75" thickBot="1" x14ac:dyDescent="0.25">
      <c r="B11" s="109" t="s">
        <v>63</v>
      </c>
      <c r="C11" s="110" t="e">
        <f ca="1">'AI-Main'!T105</f>
        <v>#NAME?</v>
      </c>
      <c r="D11" s="111" t="e">
        <f ca="1">'AI-Main'!U105</f>
        <v>#NAME?</v>
      </c>
      <c r="E11" s="112" t="e">
        <f ca="1">'AI-Main'!V105</f>
        <v>#NAME?</v>
      </c>
      <c r="F11" s="110">
        <f>'AI-HE10'!T105</f>
        <v>0</v>
      </c>
      <c r="G11" s="111">
        <f>'AI-HE10'!U105</f>
        <v>0</v>
      </c>
      <c r="H11" s="112">
        <f>'AI-HE10'!V105</f>
        <v>0</v>
      </c>
    </row>
    <row r="12" spans="2:11" x14ac:dyDescent="0.2">
      <c r="B12" s="23" t="s">
        <v>42</v>
      </c>
      <c r="C12" s="140" t="e">
        <f>'AI-Main'!U115</f>
        <v>#NUM!</v>
      </c>
      <c r="D12" s="141"/>
      <c r="E12" s="142"/>
      <c r="F12" s="140">
        <f>'AI-HE10'!U115</f>
        <v>1.0000557510916643</v>
      </c>
      <c r="G12" s="141"/>
      <c r="H12" s="142"/>
    </row>
    <row r="13" spans="2:11" ht="12.75" thickBot="1" x14ac:dyDescent="0.25">
      <c r="B13" s="32" t="s">
        <v>43</v>
      </c>
      <c r="C13" s="143" t="e">
        <f>'AI-Main'!T115</f>
        <v>#NUM!</v>
      </c>
      <c r="D13" s="144"/>
      <c r="E13" s="145"/>
      <c r="F13" s="143">
        <f>'AI-HE10'!T115</f>
        <v>1.0001229433681551</v>
      </c>
      <c r="G13" s="144"/>
      <c r="H13" s="145"/>
    </row>
    <row r="14" spans="2:11" ht="12.75" thickBot="1" x14ac:dyDescent="0.25"/>
    <row r="15" spans="2:11" x14ac:dyDescent="0.2">
      <c r="C15" s="137" t="s">
        <v>70</v>
      </c>
      <c r="D15" s="138"/>
      <c r="E15" s="139"/>
      <c r="F15" s="137" t="s">
        <v>74</v>
      </c>
      <c r="G15" s="138"/>
      <c r="H15" s="139"/>
    </row>
    <row r="16" spans="2:11" ht="12.75" thickBot="1" x14ac:dyDescent="0.25">
      <c r="C16" s="62" t="s">
        <v>38</v>
      </c>
      <c r="D16" s="9" t="s">
        <v>39</v>
      </c>
      <c r="E16" s="61" t="s">
        <v>40</v>
      </c>
      <c r="F16" s="62" t="s">
        <v>38</v>
      </c>
      <c r="G16" s="9" t="s">
        <v>39</v>
      </c>
      <c r="H16" s="61" t="s">
        <v>40</v>
      </c>
    </row>
    <row r="17" spans="2:11" ht="12.75" thickBot="1" x14ac:dyDescent="0.25">
      <c r="B17" s="13" t="s">
        <v>99</v>
      </c>
      <c r="C17" s="20">
        <f>'RA-Main'!T100</f>
        <v>0</v>
      </c>
      <c r="D17" s="21">
        <f>'RA-Main'!U100</f>
        <v>0</v>
      </c>
      <c r="E17" s="22">
        <f>'RA-Main'!V100</f>
        <v>0</v>
      </c>
      <c r="F17" s="20">
        <f>'RA-HE10'!T100</f>
        <v>0</v>
      </c>
      <c r="G17" s="21">
        <f>'RA-HE10'!U100</f>
        <v>0</v>
      </c>
      <c r="H17" s="22">
        <f>'RA-HE10'!V100</f>
        <v>0</v>
      </c>
      <c r="J17" s="137" t="s">
        <v>84</v>
      </c>
      <c r="K17" s="139"/>
    </row>
    <row r="18" spans="2:11" x14ac:dyDescent="0.2">
      <c r="B18" s="23" t="s">
        <v>7</v>
      </c>
      <c r="C18" s="41">
        <f>'RA-Main'!T101</f>
        <v>0</v>
      </c>
      <c r="D18" s="42">
        <f>'RA-Main'!U101</f>
        <v>0</v>
      </c>
      <c r="E18" s="43">
        <f>'RA-Main'!V101</f>
        <v>0</v>
      </c>
      <c r="F18" s="41">
        <f>'RA-HE10'!T101</f>
        <v>0</v>
      </c>
      <c r="G18" s="42">
        <f>'RA-HE10'!U101</f>
        <v>0</v>
      </c>
      <c r="H18" s="43">
        <f>'RA-HE10'!V101</f>
        <v>0</v>
      </c>
      <c r="J18" s="13" t="s">
        <v>85</v>
      </c>
      <c r="K18" s="69" t="s">
        <v>86</v>
      </c>
    </row>
    <row r="19" spans="2:11" x14ac:dyDescent="0.2">
      <c r="B19" s="23" t="s">
        <v>14</v>
      </c>
      <c r="C19" s="41">
        <f>'RA-Main'!T102</f>
        <v>0</v>
      </c>
      <c r="D19" s="42">
        <f>'RA-Main'!U102</f>
        <v>0</v>
      </c>
      <c r="E19" s="43">
        <f>'RA-Main'!V102</f>
        <v>0</v>
      </c>
      <c r="F19" s="41">
        <f>'RA-HE10'!T102</f>
        <v>0</v>
      </c>
      <c r="G19" s="42">
        <f>'RA-HE10'!U102</f>
        <v>0</v>
      </c>
      <c r="H19" s="43">
        <f>'RA-HE10'!V102</f>
        <v>0</v>
      </c>
      <c r="J19" s="23" t="s">
        <v>87</v>
      </c>
      <c r="K19" s="31" t="s">
        <v>88</v>
      </c>
    </row>
    <row r="20" spans="2:11" x14ac:dyDescent="0.2">
      <c r="B20" s="23" t="s">
        <v>20</v>
      </c>
      <c r="C20" s="41">
        <f>'RA-Main'!T103</f>
        <v>0</v>
      </c>
      <c r="D20" s="42">
        <f>'RA-Main'!U103</f>
        <v>0</v>
      </c>
      <c r="E20" s="43">
        <f>'RA-Main'!V103</f>
        <v>0</v>
      </c>
      <c r="F20" s="41">
        <f>'RA-HE10'!T103</f>
        <v>0</v>
      </c>
      <c r="G20" s="42">
        <f>'RA-HE10'!U103</f>
        <v>0</v>
      </c>
      <c r="H20" s="43">
        <f>'RA-HE10'!V103</f>
        <v>0</v>
      </c>
      <c r="J20" s="23" t="s">
        <v>89</v>
      </c>
      <c r="K20" s="31" t="s">
        <v>90</v>
      </c>
    </row>
    <row r="21" spans="2:11" ht="12.75" thickBot="1" x14ac:dyDescent="0.25">
      <c r="B21" s="23" t="s">
        <v>27</v>
      </c>
      <c r="C21" s="83"/>
      <c r="D21" s="84"/>
      <c r="E21" s="85"/>
      <c r="F21" s="83"/>
      <c r="G21" s="84"/>
      <c r="H21" s="85"/>
      <c r="J21" s="23" t="s">
        <v>91</v>
      </c>
      <c r="K21" s="31" t="s">
        <v>92</v>
      </c>
    </row>
    <row r="22" spans="2:11" x14ac:dyDescent="0.2">
      <c r="B22" s="55" t="s">
        <v>41</v>
      </c>
      <c r="C22" s="21">
        <f>'RA-Main'!T112</f>
        <v>0</v>
      </c>
      <c r="D22" s="21">
        <f>'RA-Main'!U112</f>
        <v>0</v>
      </c>
      <c r="E22" s="22">
        <f>'RA-Main'!V112</f>
        <v>0</v>
      </c>
      <c r="F22" s="21">
        <f>'RA-HE10'!T112</f>
        <v>0</v>
      </c>
      <c r="G22" s="21">
        <f>'RA-HE10'!U112</f>
        <v>0</v>
      </c>
      <c r="H22" s="22">
        <f>'RA-HE10'!V112</f>
        <v>0</v>
      </c>
      <c r="J22" s="23" t="s">
        <v>93</v>
      </c>
      <c r="K22" s="31" t="s">
        <v>94</v>
      </c>
    </row>
    <row r="23" spans="2:11" ht="12.75" thickBot="1" x14ac:dyDescent="0.25">
      <c r="B23" s="32"/>
      <c r="C23" s="53">
        <f>'RA-Main'!W112</f>
        <v>0</v>
      </c>
      <c r="D23" s="53">
        <f>'RA-Main'!X112</f>
        <v>0</v>
      </c>
      <c r="E23" s="54">
        <f>'RA-Main'!Y112</f>
        <v>0</v>
      </c>
      <c r="F23" s="53">
        <f>'RA-HE10'!W112</f>
        <v>0</v>
      </c>
      <c r="G23" s="53">
        <f>'RA-HE10'!X112</f>
        <v>0</v>
      </c>
      <c r="H23" s="54">
        <f>'RA-HE10'!Y112</f>
        <v>0</v>
      </c>
      <c r="J23" s="32" t="s">
        <v>95</v>
      </c>
      <c r="K23" s="40" t="s">
        <v>96</v>
      </c>
    </row>
    <row r="24" spans="2:11" ht="12.75" thickBot="1" x14ac:dyDescent="0.25">
      <c r="B24" s="109" t="s">
        <v>63</v>
      </c>
      <c r="C24" s="110">
        <f>'RA-Main'!T105</f>
        <v>0</v>
      </c>
      <c r="D24" s="111">
        <f>'RA-Main'!U105</f>
        <v>0</v>
      </c>
      <c r="E24" s="112">
        <f>'RA-Main'!V105</f>
        <v>0</v>
      </c>
      <c r="F24" s="110">
        <f>'RA-HE10'!T105</f>
        <v>0</v>
      </c>
      <c r="G24" s="111">
        <f>'RA-HE10'!U105</f>
        <v>0</v>
      </c>
      <c r="H24" s="112">
        <f>'RA-HE10'!V105</f>
        <v>0</v>
      </c>
      <c r="J24" s="146" t="s">
        <v>97</v>
      </c>
      <c r="K24" s="147"/>
    </row>
    <row r="25" spans="2:11" x14ac:dyDescent="0.2">
      <c r="B25" s="23" t="s">
        <v>42</v>
      </c>
      <c r="C25" s="140">
        <f>'RA-Main'!U115</f>
        <v>0.99708433234347749</v>
      </c>
      <c r="D25" s="141"/>
      <c r="E25" s="142"/>
      <c r="F25" s="140">
        <f>'RA-HE10'!U115</f>
        <v>0.99690925233196936</v>
      </c>
      <c r="G25" s="141"/>
      <c r="H25" s="142"/>
    </row>
    <row r="26" spans="2:11" ht="12.75" thickBot="1" x14ac:dyDescent="0.25">
      <c r="B26" s="32" t="s">
        <v>43</v>
      </c>
      <c r="C26" s="143">
        <f>'RA-Main'!T115</f>
        <v>0.99673681120751612</v>
      </c>
      <c r="D26" s="144"/>
      <c r="E26" s="145"/>
      <c r="F26" s="143">
        <f>'RA-HE10'!T115</f>
        <v>0.99621246964580579</v>
      </c>
      <c r="G26" s="144"/>
      <c r="H26" s="145"/>
    </row>
    <row r="27" spans="2:11" ht="12.75" thickBot="1" x14ac:dyDescent="0.25"/>
    <row r="28" spans="2:11" x14ac:dyDescent="0.2">
      <c r="C28" s="137" t="s">
        <v>71</v>
      </c>
      <c r="D28" s="138"/>
      <c r="E28" s="139"/>
      <c r="F28" s="137" t="s">
        <v>75</v>
      </c>
      <c r="G28" s="138"/>
      <c r="H28" s="139"/>
    </row>
    <row r="29" spans="2:11" ht="12.75" thickBot="1" x14ac:dyDescent="0.25">
      <c r="C29" s="62" t="s">
        <v>38</v>
      </c>
      <c r="D29" s="9" t="s">
        <v>39</v>
      </c>
      <c r="E29" s="61" t="s">
        <v>40</v>
      </c>
      <c r="F29" s="62" t="s">
        <v>38</v>
      </c>
      <c r="G29" s="9" t="s">
        <v>39</v>
      </c>
      <c r="H29" s="61" t="s">
        <v>40</v>
      </c>
    </row>
    <row r="30" spans="2:11" x14ac:dyDescent="0.2">
      <c r="B30" s="13" t="s">
        <v>99</v>
      </c>
      <c r="C30" s="81"/>
      <c r="D30" s="82"/>
      <c r="E30" s="107"/>
      <c r="F30" s="81"/>
      <c r="G30" s="82"/>
      <c r="H30" s="107"/>
    </row>
    <row r="31" spans="2:11" x14ac:dyDescent="0.2">
      <c r="B31" s="23" t="s">
        <v>7</v>
      </c>
      <c r="C31" s="41">
        <f>'LB-Main'!T101</f>
        <v>0</v>
      </c>
      <c r="D31" s="42">
        <f>'LB-Main'!U101</f>
        <v>0</v>
      </c>
      <c r="E31" s="43">
        <f>'LB-Main'!V101</f>
        <v>0</v>
      </c>
      <c r="F31" s="41">
        <f>'LB-HE10'!T101</f>
        <v>0</v>
      </c>
      <c r="G31" s="42">
        <f>'LB-HE10'!U101</f>
        <v>0</v>
      </c>
      <c r="H31" s="43">
        <f>'LB-HE10'!V101</f>
        <v>0</v>
      </c>
    </row>
    <row r="32" spans="2:11" x14ac:dyDescent="0.2">
      <c r="B32" s="23" t="s">
        <v>14</v>
      </c>
      <c r="C32" s="41">
        <f>'LB-Main'!T102</f>
        <v>0</v>
      </c>
      <c r="D32" s="42">
        <f>'LB-Main'!U102</f>
        <v>0</v>
      </c>
      <c r="E32" s="43">
        <f>'LB-Main'!V102</f>
        <v>0</v>
      </c>
      <c r="F32" s="41">
        <f>'LB-HE10'!T102</f>
        <v>0</v>
      </c>
      <c r="G32" s="42">
        <f>'LB-HE10'!U102</f>
        <v>0</v>
      </c>
      <c r="H32" s="43">
        <f>'LB-HE10'!V102</f>
        <v>0</v>
      </c>
    </row>
    <row r="33" spans="2:8" x14ac:dyDescent="0.2">
      <c r="B33" s="23" t="s">
        <v>20</v>
      </c>
      <c r="C33" s="41">
        <f>'LB-Main'!T103</f>
        <v>0</v>
      </c>
      <c r="D33" s="42">
        <f>'LB-Main'!U103</f>
        <v>0</v>
      </c>
      <c r="E33" s="43">
        <f>'LB-Main'!V103</f>
        <v>0</v>
      </c>
      <c r="F33" s="41">
        <f>'LB-HE10'!T103</f>
        <v>0</v>
      </c>
      <c r="G33" s="42">
        <f>'LB-HE10'!U103</f>
        <v>0</v>
      </c>
      <c r="H33" s="43">
        <f>'LB-HE10'!V103</f>
        <v>0</v>
      </c>
    </row>
    <row r="34" spans="2:8" ht="12.75" thickBot="1" x14ac:dyDescent="0.25">
      <c r="B34" s="23" t="s">
        <v>27</v>
      </c>
      <c r="C34" s="41">
        <f>'LB-Main'!T104</f>
        <v>0</v>
      </c>
      <c r="D34" s="42">
        <f>'LB-Main'!U104</f>
        <v>0</v>
      </c>
      <c r="E34" s="43">
        <f>'LB-Main'!V104</f>
        <v>0</v>
      </c>
      <c r="F34" s="41">
        <f>'LB-HE10'!T104</f>
        <v>0</v>
      </c>
      <c r="G34" s="42">
        <f>'LB-HE10'!U104</f>
        <v>0</v>
      </c>
      <c r="H34" s="43">
        <f>'LB-HE10'!V104</f>
        <v>0</v>
      </c>
    </row>
    <row r="35" spans="2:8" x14ac:dyDescent="0.2">
      <c r="B35" s="55" t="s">
        <v>41</v>
      </c>
      <c r="C35" s="21">
        <f>'LB-Main'!T112</f>
        <v>0</v>
      </c>
      <c r="D35" s="21">
        <f>'LB-Main'!U112</f>
        <v>0</v>
      </c>
      <c r="E35" s="22">
        <f>'LB-Main'!V112</f>
        <v>0</v>
      </c>
      <c r="F35" s="21">
        <f>'LB-HE10'!T112</f>
        <v>0</v>
      </c>
      <c r="G35" s="21">
        <f>'LB-HE10'!U112</f>
        <v>0</v>
      </c>
      <c r="H35" s="22">
        <f>'LB-HE10'!V112</f>
        <v>0</v>
      </c>
    </row>
    <row r="36" spans="2:8" ht="12.75" thickBot="1" x14ac:dyDescent="0.25">
      <c r="B36" s="32"/>
      <c r="C36" s="53">
        <f>'LB-Main'!W112</f>
        <v>0</v>
      </c>
      <c r="D36" s="53">
        <f>'LB-Main'!X112</f>
        <v>0</v>
      </c>
      <c r="E36" s="54">
        <f>'LB-Main'!Y112</f>
        <v>0</v>
      </c>
      <c r="F36" s="53">
        <f>'LB-HE10'!W112</f>
        <v>0</v>
      </c>
      <c r="G36" s="53">
        <f>'LB-HE10'!X112</f>
        <v>0</v>
      </c>
      <c r="H36" s="54">
        <f>'LB-HE10'!Y112</f>
        <v>0</v>
      </c>
    </row>
    <row r="37" spans="2:8" ht="12.75" thickBot="1" x14ac:dyDescent="0.25">
      <c r="B37" s="109" t="s">
        <v>63</v>
      </c>
      <c r="C37" s="110">
        <f>'LB-Main'!T105</f>
        <v>0</v>
      </c>
      <c r="D37" s="111">
        <f>'LB-Main'!U105</f>
        <v>0</v>
      </c>
      <c r="E37" s="112">
        <f>'LB-Main'!V105</f>
        <v>0</v>
      </c>
      <c r="F37" s="110">
        <f>'LB-HE10'!T105</f>
        <v>0</v>
      </c>
      <c r="G37" s="111">
        <f>'LB-HE10'!U105</f>
        <v>0</v>
      </c>
      <c r="H37" s="112">
        <f>'LB-HE10'!V105</f>
        <v>0</v>
      </c>
    </row>
    <row r="38" spans="2:8" x14ac:dyDescent="0.2">
      <c r="B38" s="23" t="s">
        <v>42</v>
      </c>
      <c r="C38" s="140">
        <f>'LB-Main'!U115</f>
        <v>0.99755878603529224</v>
      </c>
      <c r="D38" s="141"/>
      <c r="E38" s="142"/>
      <c r="F38" s="140">
        <f>'LB-HE10'!U115</f>
        <v>0.99844694064361528</v>
      </c>
      <c r="G38" s="141"/>
      <c r="H38" s="142"/>
    </row>
    <row r="39" spans="2:8" ht="12.75" thickBot="1" x14ac:dyDescent="0.25">
      <c r="B39" s="32" t="s">
        <v>43</v>
      </c>
      <c r="C39" s="143">
        <f>'LB-Main'!T115</f>
        <v>0.99991858957387192</v>
      </c>
      <c r="D39" s="144"/>
      <c r="E39" s="145"/>
      <c r="F39" s="143">
        <f>'LB-HE10'!T115</f>
        <v>0.99865727633112578</v>
      </c>
      <c r="G39" s="144"/>
      <c r="H39" s="145"/>
    </row>
    <row r="40" spans="2:8" ht="12.75" thickBot="1" x14ac:dyDescent="0.25"/>
    <row r="41" spans="2:8" x14ac:dyDescent="0.2">
      <c r="C41" s="137" t="s">
        <v>72</v>
      </c>
      <c r="D41" s="138"/>
      <c r="E41" s="139"/>
      <c r="F41" s="137" t="s">
        <v>76</v>
      </c>
      <c r="G41" s="138"/>
      <c r="H41" s="139"/>
    </row>
    <row r="42" spans="2:8" ht="12.75" thickBot="1" x14ac:dyDescent="0.25">
      <c r="C42" s="62" t="s">
        <v>38</v>
      </c>
      <c r="D42" s="9" t="s">
        <v>39</v>
      </c>
      <c r="E42" s="61" t="s">
        <v>40</v>
      </c>
      <c r="F42" s="62" t="s">
        <v>38</v>
      </c>
      <c r="G42" s="9" t="s">
        <v>39</v>
      </c>
      <c r="H42" s="61" t="s">
        <v>40</v>
      </c>
    </row>
    <row r="43" spans="2:8" x14ac:dyDescent="0.2">
      <c r="B43" s="13" t="s">
        <v>99</v>
      </c>
      <c r="C43" s="81"/>
      <c r="D43" s="82"/>
      <c r="E43" s="107"/>
      <c r="F43" s="81"/>
      <c r="G43" s="82"/>
      <c r="H43" s="107"/>
    </row>
    <row r="44" spans="2:8" x14ac:dyDescent="0.2">
      <c r="B44" s="23" t="s">
        <v>7</v>
      </c>
      <c r="C44" s="41">
        <f>'LP-Main'!T101</f>
        <v>0</v>
      </c>
      <c r="D44" s="42">
        <f>'LP-Main'!U101</f>
        <v>0</v>
      </c>
      <c r="E44" s="43">
        <f>'LP-Main'!V101</f>
        <v>0</v>
      </c>
      <c r="F44" s="41">
        <f>'LP-HE10'!T101</f>
        <v>0</v>
      </c>
      <c r="G44" s="42">
        <f>'LP-HE10'!U101</f>
        <v>0</v>
      </c>
      <c r="H44" s="43">
        <f>'LP-HE10'!V101</f>
        <v>0</v>
      </c>
    </row>
    <row r="45" spans="2:8" x14ac:dyDescent="0.2">
      <c r="B45" s="23" t="s">
        <v>14</v>
      </c>
      <c r="C45" s="41">
        <f>'LP-Main'!T102</f>
        <v>0</v>
      </c>
      <c r="D45" s="42">
        <f>'LP-Main'!U102</f>
        <v>0</v>
      </c>
      <c r="E45" s="43">
        <f>'LP-Main'!V102</f>
        <v>0</v>
      </c>
      <c r="F45" s="41">
        <f>'LP-HE10'!T102</f>
        <v>0</v>
      </c>
      <c r="G45" s="42">
        <f>'LP-HE10'!U102</f>
        <v>0</v>
      </c>
      <c r="H45" s="43">
        <f>'LP-HE10'!V102</f>
        <v>0</v>
      </c>
    </row>
    <row r="46" spans="2:8" x14ac:dyDescent="0.2">
      <c r="B46" s="23" t="s">
        <v>20</v>
      </c>
      <c r="C46" s="41">
        <f>'LP-Main'!T103</f>
        <v>0</v>
      </c>
      <c r="D46" s="42">
        <f>'LP-Main'!U103</f>
        <v>0</v>
      </c>
      <c r="E46" s="43">
        <f>'LP-Main'!V103</f>
        <v>0</v>
      </c>
      <c r="F46" s="41">
        <f>'LP-HE10'!T103</f>
        <v>0</v>
      </c>
      <c r="G46" s="42">
        <f>'LP-HE10'!U103</f>
        <v>0</v>
      </c>
      <c r="H46" s="43">
        <f>'LP-HE10'!V103</f>
        <v>0</v>
      </c>
    </row>
    <row r="47" spans="2:8" ht="12.75" thickBot="1" x14ac:dyDescent="0.25">
      <c r="B47" s="23" t="s">
        <v>27</v>
      </c>
      <c r="C47" s="41">
        <f>'LP-Main'!T104</f>
        <v>0</v>
      </c>
      <c r="D47" s="42">
        <f>'LP-Main'!U104</f>
        <v>0</v>
      </c>
      <c r="E47" s="43">
        <f>'LP-Main'!V104</f>
        <v>0</v>
      </c>
      <c r="F47" s="41">
        <f>'LP-HE10'!T104</f>
        <v>0</v>
      </c>
      <c r="G47" s="42">
        <f>'LP-HE10'!U104</f>
        <v>0</v>
      </c>
      <c r="H47" s="43">
        <f>'LP-HE10'!V104</f>
        <v>0</v>
      </c>
    </row>
    <row r="48" spans="2:8" x14ac:dyDescent="0.2">
      <c r="B48" s="55" t="s">
        <v>41</v>
      </c>
      <c r="C48" s="21">
        <f>'LP-Main'!T112</f>
        <v>0</v>
      </c>
      <c r="D48" s="21">
        <f>'LP-Main'!U112</f>
        <v>0</v>
      </c>
      <c r="E48" s="22">
        <f>'LP-Main'!V112</f>
        <v>0</v>
      </c>
      <c r="F48" s="21">
        <f>'LP-HE10'!T112</f>
        <v>0</v>
      </c>
      <c r="G48" s="21">
        <f>'LP-HE10'!U112</f>
        <v>0</v>
      </c>
      <c r="H48" s="22">
        <f>'LP-HE10'!V112</f>
        <v>0</v>
      </c>
    </row>
    <row r="49" spans="2:8" ht="12.75" thickBot="1" x14ac:dyDescent="0.25">
      <c r="B49" s="32"/>
      <c r="C49" s="53">
        <f>'LP-Main'!W112</f>
        <v>0</v>
      </c>
      <c r="D49" s="53">
        <f>'LP-Main'!X112</f>
        <v>0</v>
      </c>
      <c r="E49" s="54">
        <f>'LP-Main'!Y112</f>
        <v>0</v>
      </c>
      <c r="F49" s="53">
        <f>'LP-HE10'!W112</f>
        <v>0</v>
      </c>
      <c r="G49" s="53">
        <f>'LP-HE10'!X112</f>
        <v>0</v>
      </c>
      <c r="H49" s="54">
        <f>'LP-HE10'!Y112</f>
        <v>0</v>
      </c>
    </row>
    <row r="50" spans="2:8" ht="12.75" thickBot="1" x14ac:dyDescent="0.25">
      <c r="B50" s="109" t="s">
        <v>63</v>
      </c>
      <c r="C50" s="110">
        <f>'LP-Main'!T105</f>
        <v>0</v>
      </c>
      <c r="D50" s="111">
        <f>'LP-Main'!U105</f>
        <v>0</v>
      </c>
      <c r="E50" s="112">
        <f>'LP-Main'!V105</f>
        <v>0</v>
      </c>
      <c r="F50" s="110">
        <f>'LP-HE10'!T105</f>
        <v>0</v>
      </c>
      <c r="G50" s="111">
        <f>'LP-HE10'!U105</f>
        <v>0</v>
      </c>
      <c r="H50" s="112">
        <f>'LP-HE10'!V105</f>
        <v>0</v>
      </c>
    </row>
    <row r="51" spans="2:8" x14ac:dyDescent="0.2">
      <c r="B51" s="23" t="s">
        <v>42</v>
      </c>
      <c r="C51" s="140">
        <f>'LP-Main'!U115</f>
        <v>0.99773714284060133</v>
      </c>
      <c r="D51" s="141"/>
      <c r="E51" s="142"/>
      <c r="F51" s="140">
        <f>'LP-HE10'!U115</f>
        <v>0.99776895434082158</v>
      </c>
      <c r="G51" s="141"/>
      <c r="H51" s="142"/>
    </row>
    <row r="52" spans="2:8" ht="12.75" thickBot="1" x14ac:dyDescent="0.25">
      <c r="B52" s="32" t="s">
        <v>43</v>
      </c>
      <c r="C52" s="143">
        <f>'LP-Main'!T115</f>
        <v>0.99653271766358387</v>
      </c>
      <c r="D52" s="144"/>
      <c r="E52" s="145"/>
      <c r="F52" s="143">
        <f>'LP-HE10'!T115</f>
        <v>0.99759096636915767</v>
      </c>
      <c r="G52" s="144"/>
      <c r="H52" s="145"/>
    </row>
  </sheetData>
  <mergeCells count="26">
    <mergeCell ref="C52:E52"/>
    <mergeCell ref="F52:H52"/>
    <mergeCell ref="C39:E39"/>
    <mergeCell ref="F39:H39"/>
    <mergeCell ref="C41:E41"/>
    <mergeCell ref="F41:H41"/>
    <mergeCell ref="C51:E51"/>
    <mergeCell ref="F51:H51"/>
    <mergeCell ref="C26:E26"/>
    <mergeCell ref="F26:H26"/>
    <mergeCell ref="C28:E28"/>
    <mergeCell ref="F28:H28"/>
    <mergeCell ref="C38:E38"/>
    <mergeCell ref="F38:H38"/>
    <mergeCell ref="C15:E15"/>
    <mergeCell ref="F15:H15"/>
    <mergeCell ref="J17:K17"/>
    <mergeCell ref="J24:K24"/>
    <mergeCell ref="C25:E25"/>
    <mergeCell ref="F25:H25"/>
    <mergeCell ref="C2:E2"/>
    <mergeCell ref="F2:H2"/>
    <mergeCell ref="C12:E12"/>
    <mergeCell ref="F12:H12"/>
    <mergeCell ref="C13:E13"/>
    <mergeCell ref="F13:H13"/>
  </mergeCells>
  <phoneticPr fontId="7" type="noConversion"/>
  <conditionalFormatting sqref="C50:H50 C43:H48 C37:H37 C30:H35 C24:H24 C17:H22 C11:H11 C4:H9">
    <cfRule type="cellIs" dxfId="61" priority="1" stopIfTrue="1" operator="greaterThan">
      <formula>0.03</formula>
    </cfRule>
    <cfRule type="cellIs" dxfId="6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K52"/>
  <sheetViews>
    <sheetView topLeftCell="A13" workbookViewId="0"/>
  </sheetViews>
  <sheetFormatPr defaultColWidth="10.875" defaultRowHeight="12" x14ac:dyDescent="0.2"/>
  <cols>
    <col min="1" max="1" width="4.125" style="1" customWidth="1"/>
    <col min="2" max="2" width="10.875" style="1" customWidth="1"/>
    <col min="3" max="8" width="8.875" style="1" customWidth="1"/>
    <col min="9" max="10" width="10.875" style="1"/>
    <col min="11" max="11" width="34" style="1" bestFit="1" customWidth="1"/>
    <col min="12" max="16384" width="10.875" style="1"/>
  </cols>
  <sheetData>
    <row r="1" spans="2:11" ht="12.75" thickBot="1" x14ac:dyDescent="0.25"/>
    <row r="2" spans="2:11" x14ac:dyDescent="0.2">
      <c r="C2" s="137" t="s">
        <v>69</v>
      </c>
      <c r="D2" s="138"/>
      <c r="E2" s="139"/>
      <c r="F2" s="137" t="s">
        <v>73</v>
      </c>
      <c r="G2" s="138"/>
      <c r="H2" s="139"/>
      <c r="J2" s="49" t="s">
        <v>48</v>
      </c>
      <c r="K2" s="49" t="str">
        <f>'Summary (A-E)'!$K$2</f>
        <v>HEVC HM15.0_RExt7.3</v>
      </c>
    </row>
    <row r="3" spans="2:11" ht="12.75" thickBot="1" x14ac:dyDescent="0.25">
      <c r="C3" s="50" t="s">
        <v>38</v>
      </c>
      <c r="D3" s="51" t="s">
        <v>39</v>
      </c>
      <c r="E3" s="52" t="s">
        <v>40</v>
      </c>
      <c r="F3" s="50" t="s">
        <v>38</v>
      </c>
      <c r="G3" s="51" t="s">
        <v>39</v>
      </c>
      <c r="H3" s="52" t="s">
        <v>40</v>
      </c>
      <c r="J3" s="49" t="s">
        <v>49</v>
      </c>
      <c r="K3" s="49" t="str">
        <f>'Summary (A-E)'!$K$3</f>
        <v>HEVC HM16.0</v>
      </c>
    </row>
    <row r="4" spans="2:11" x14ac:dyDescent="0.2">
      <c r="B4" s="13" t="s">
        <v>2</v>
      </c>
      <c r="C4" s="20">
        <f>'AI-Main'!T99</f>
        <v>2.9440528511164854E-3</v>
      </c>
      <c r="D4" s="21">
        <f>'AI-Main'!U99</f>
        <v>2.1743893060758801E-2</v>
      </c>
      <c r="E4" s="22">
        <f>'AI-Main'!V99</f>
        <v>2.0233439268845799E-2</v>
      </c>
      <c r="F4" s="20">
        <f>'AI-HE10'!T99</f>
        <v>0</v>
      </c>
      <c r="G4" s="21">
        <f>'AI-HE10'!U99</f>
        <v>0</v>
      </c>
      <c r="H4" s="22">
        <f>'AI-HE10'!V99</f>
        <v>0</v>
      </c>
    </row>
    <row r="5" spans="2:11" x14ac:dyDescent="0.2">
      <c r="B5" s="23" t="s">
        <v>7</v>
      </c>
      <c r="C5" s="41">
        <f>'AI-Main'!T101</f>
        <v>2.3015972437397279E-3</v>
      </c>
      <c r="D5" s="42">
        <f>'AI-Main'!U101</f>
        <v>9.7283310623409672E-3</v>
      </c>
      <c r="E5" s="43">
        <f>'AI-Main'!V101</f>
        <v>1.1741249823849342E-2</v>
      </c>
      <c r="F5" s="41">
        <f>'AI-HE10'!T101</f>
        <v>0</v>
      </c>
      <c r="G5" s="42">
        <f>'AI-HE10'!U101</f>
        <v>0</v>
      </c>
      <c r="H5" s="43">
        <f>'AI-HE10'!V101</f>
        <v>0</v>
      </c>
    </row>
    <row r="6" spans="2:11" x14ac:dyDescent="0.2">
      <c r="B6" s="23" t="s">
        <v>14</v>
      </c>
      <c r="C6" s="41" t="e">
        <f>'AI-Main'!T102</f>
        <v>#VALUE!</v>
      </c>
      <c r="D6" s="42" t="e">
        <f>'AI-Main'!U102</f>
        <v>#VALUE!</v>
      </c>
      <c r="E6" s="43" t="e">
        <f>'AI-Main'!V102</f>
        <v>#VALUE!</v>
      </c>
      <c r="F6" s="41">
        <f>'AI-HE10'!T102</f>
        <v>0</v>
      </c>
      <c r="G6" s="42">
        <f>'AI-HE10'!U102</f>
        <v>0</v>
      </c>
      <c r="H6" s="43">
        <f>'AI-HE10'!V102</f>
        <v>0</v>
      </c>
    </row>
    <row r="7" spans="2:11" x14ac:dyDescent="0.2">
      <c r="B7" s="23" t="s">
        <v>20</v>
      </c>
      <c r="C7" s="41">
        <f>'AI-Main'!T103</f>
        <v>2.8187047783503338E-3</v>
      </c>
      <c r="D7" s="42">
        <f>'AI-Main'!U103</f>
        <v>3.0780411262649465E-3</v>
      </c>
      <c r="E7" s="43">
        <f>'AI-Main'!V103</f>
        <v>4.6190199588535541E-3</v>
      </c>
      <c r="F7" s="41">
        <f>'AI-HE10'!T103</f>
        <v>0</v>
      </c>
      <c r="G7" s="42">
        <f>'AI-HE10'!U103</f>
        <v>0</v>
      </c>
      <c r="H7" s="43">
        <f>'AI-HE10'!V103</f>
        <v>0</v>
      </c>
    </row>
    <row r="8" spans="2:11" x14ac:dyDescent="0.2">
      <c r="B8" s="23" t="s">
        <v>27</v>
      </c>
      <c r="C8" s="41">
        <f>'AI-Main'!T104</f>
        <v>5.6325296906992355E-3</v>
      </c>
      <c r="D8" s="42">
        <f>'AI-Main'!U104</f>
        <v>8.8342058979988813E-3</v>
      </c>
      <c r="E8" s="43">
        <f>'AI-Main'!V104</f>
        <v>1.3399011834956287E-2</v>
      </c>
      <c r="F8" s="41">
        <f>'AI-HE10'!T104</f>
        <v>0</v>
      </c>
      <c r="G8" s="42">
        <f>'AI-HE10'!U104</f>
        <v>0</v>
      </c>
      <c r="H8" s="43">
        <f>'AI-HE10'!V104</f>
        <v>0</v>
      </c>
    </row>
    <row r="9" spans="2:11" ht="12.75" thickBot="1" x14ac:dyDescent="0.25">
      <c r="B9" s="23" t="s">
        <v>63</v>
      </c>
      <c r="C9" s="41" t="e">
        <f ca="1">'AI-Main'!T105</f>
        <v>#NAME?</v>
      </c>
      <c r="D9" s="42" t="e">
        <f ca="1">'AI-Main'!U105</f>
        <v>#NAME?</v>
      </c>
      <c r="E9" s="43" t="e">
        <f ca="1">'AI-Main'!V105</f>
        <v>#NAME?</v>
      </c>
      <c r="F9" s="41">
        <f>'AI-HE10'!T105</f>
        <v>0</v>
      </c>
      <c r="G9" s="42">
        <f>'AI-HE10'!U105</f>
        <v>0</v>
      </c>
      <c r="H9" s="43">
        <f>'AI-HE10'!V105</f>
        <v>0</v>
      </c>
      <c r="J9" s="49" t="s">
        <v>46</v>
      </c>
    </row>
    <row r="10" spans="2:11" x14ac:dyDescent="0.2">
      <c r="B10" s="55" t="s">
        <v>41</v>
      </c>
      <c r="C10" s="21" t="e">
        <f>'AI-Main'!T106</f>
        <v>#VALUE!</v>
      </c>
      <c r="D10" s="21" t="e">
        <f>'AI-Main'!U106</f>
        <v>#VALUE!</v>
      </c>
      <c r="E10" s="22" t="e">
        <f>'AI-Main'!V106</f>
        <v>#VALUE!</v>
      </c>
      <c r="F10" s="21">
        <f>'AI-HE10'!T106</f>
        <v>0</v>
      </c>
      <c r="G10" s="21">
        <f>'AI-HE10'!U106</f>
        <v>0</v>
      </c>
      <c r="H10" s="22">
        <f>'AI-HE10'!V106</f>
        <v>0</v>
      </c>
      <c r="J10" s="1" t="s">
        <v>47</v>
      </c>
    </row>
    <row r="11" spans="2:11" ht="12.75" thickBot="1" x14ac:dyDescent="0.25">
      <c r="B11" s="32"/>
      <c r="C11" s="53" t="e">
        <f ca="1">'AI-Main'!W106</f>
        <v>#NAME?</v>
      </c>
      <c r="D11" s="53" t="e">
        <f ca="1">'AI-Main'!X106</f>
        <v>#NAME?</v>
      </c>
      <c r="E11" s="54" t="e">
        <f ca="1">'AI-Main'!Y106</f>
        <v>#NAME?</v>
      </c>
      <c r="F11" s="53">
        <f>'AI-HE10'!W106</f>
        <v>0</v>
      </c>
      <c r="G11" s="53">
        <f>'AI-HE10'!X106</f>
        <v>0</v>
      </c>
      <c r="H11" s="54">
        <f>'AI-HE10'!Y106</f>
        <v>0</v>
      </c>
    </row>
    <row r="12" spans="2:11" x14ac:dyDescent="0.2">
      <c r="B12" s="23" t="s">
        <v>42</v>
      </c>
      <c r="C12" s="140" t="e">
        <f>'AI-Main'!U109</f>
        <v>#NUM!</v>
      </c>
      <c r="D12" s="141"/>
      <c r="E12" s="142"/>
      <c r="F12" s="140">
        <f>'AI-HE10'!U109</f>
        <v>0.99984760855734311</v>
      </c>
      <c r="G12" s="141"/>
      <c r="H12" s="142"/>
    </row>
    <row r="13" spans="2:11" ht="12.75" thickBot="1" x14ac:dyDescent="0.25">
      <c r="B13" s="32" t="s">
        <v>43</v>
      </c>
      <c r="C13" s="143" t="e">
        <f>'AI-Main'!T109</f>
        <v>#NUM!</v>
      </c>
      <c r="D13" s="144"/>
      <c r="E13" s="145"/>
      <c r="F13" s="143">
        <f>'AI-HE10'!T109</f>
        <v>0.99927838709287176</v>
      </c>
      <c r="G13" s="144"/>
      <c r="H13" s="145"/>
    </row>
    <row r="14" spans="2:11" ht="12.75" thickBot="1" x14ac:dyDescent="0.25"/>
    <row r="15" spans="2:11" x14ac:dyDescent="0.2">
      <c r="C15" s="137" t="s">
        <v>70</v>
      </c>
      <c r="D15" s="138"/>
      <c r="E15" s="139"/>
      <c r="F15" s="137" t="s">
        <v>74</v>
      </c>
      <c r="G15" s="138"/>
      <c r="H15" s="139"/>
    </row>
    <row r="16" spans="2:11" ht="12.75" thickBot="1" x14ac:dyDescent="0.25">
      <c r="C16" s="62" t="s">
        <v>38</v>
      </c>
      <c r="D16" s="9" t="s">
        <v>39</v>
      </c>
      <c r="E16" s="61" t="s">
        <v>40</v>
      </c>
      <c r="F16" s="62" t="s">
        <v>38</v>
      </c>
      <c r="G16" s="9" t="s">
        <v>39</v>
      </c>
      <c r="H16" s="61" t="s">
        <v>40</v>
      </c>
    </row>
    <row r="17" spans="2:11" ht="12.75" thickBot="1" x14ac:dyDescent="0.25">
      <c r="B17" s="13" t="s">
        <v>2</v>
      </c>
      <c r="C17" s="20">
        <f>'RA-Main'!T99</f>
        <v>0</v>
      </c>
      <c r="D17" s="21">
        <f>'RA-Main'!U99</f>
        <v>0</v>
      </c>
      <c r="E17" s="22">
        <f>'RA-Main'!V99</f>
        <v>0</v>
      </c>
      <c r="F17" s="20">
        <f>'RA-HE10'!T99</f>
        <v>0</v>
      </c>
      <c r="G17" s="21">
        <f>'RA-HE10'!U99</f>
        <v>0</v>
      </c>
      <c r="H17" s="22">
        <f>'RA-HE10'!V99</f>
        <v>0</v>
      </c>
      <c r="J17" s="137" t="s">
        <v>84</v>
      </c>
      <c r="K17" s="139"/>
    </row>
    <row r="18" spans="2:11" x14ac:dyDescent="0.2">
      <c r="B18" s="23" t="s">
        <v>7</v>
      </c>
      <c r="C18" s="41">
        <f>'RA-Main'!T101</f>
        <v>0</v>
      </c>
      <c r="D18" s="42">
        <f>'RA-Main'!U101</f>
        <v>0</v>
      </c>
      <c r="E18" s="43">
        <f>'RA-Main'!V101</f>
        <v>0</v>
      </c>
      <c r="F18" s="41">
        <f>'RA-HE10'!T101</f>
        <v>0</v>
      </c>
      <c r="G18" s="42">
        <f>'RA-HE10'!U101</f>
        <v>0</v>
      </c>
      <c r="H18" s="43">
        <f>'RA-HE10'!V101</f>
        <v>0</v>
      </c>
      <c r="J18" s="13" t="s">
        <v>85</v>
      </c>
      <c r="K18" s="69" t="s">
        <v>86</v>
      </c>
    </row>
    <row r="19" spans="2:11" x14ac:dyDescent="0.2">
      <c r="B19" s="23" t="s">
        <v>14</v>
      </c>
      <c r="C19" s="41">
        <f>'RA-Main'!T102</f>
        <v>0</v>
      </c>
      <c r="D19" s="42">
        <f>'RA-Main'!U102</f>
        <v>0</v>
      </c>
      <c r="E19" s="43">
        <f>'RA-Main'!V102</f>
        <v>0</v>
      </c>
      <c r="F19" s="41">
        <f>'RA-HE10'!T102</f>
        <v>0</v>
      </c>
      <c r="G19" s="42">
        <f>'RA-HE10'!U102</f>
        <v>0</v>
      </c>
      <c r="H19" s="43">
        <f>'RA-HE10'!V102</f>
        <v>0</v>
      </c>
      <c r="J19" s="23" t="s">
        <v>87</v>
      </c>
      <c r="K19" s="31" t="s">
        <v>88</v>
      </c>
    </row>
    <row r="20" spans="2:11" x14ac:dyDescent="0.2">
      <c r="B20" s="23" t="s">
        <v>20</v>
      </c>
      <c r="C20" s="41">
        <f>'RA-Main'!T103</f>
        <v>0</v>
      </c>
      <c r="D20" s="42">
        <f>'RA-Main'!U103</f>
        <v>0</v>
      </c>
      <c r="E20" s="43">
        <f>'RA-Main'!V103</f>
        <v>0</v>
      </c>
      <c r="F20" s="41">
        <f>'RA-HE10'!T103</f>
        <v>0</v>
      </c>
      <c r="G20" s="42">
        <f>'RA-HE10'!U103</f>
        <v>0</v>
      </c>
      <c r="H20" s="43">
        <f>'RA-HE10'!V103</f>
        <v>0</v>
      </c>
      <c r="J20" s="23" t="s">
        <v>89</v>
      </c>
      <c r="K20" s="31" t="s">
        <v>90</v>
      </c>
    </row>
    <row r="21" spans="2:11" x14ac:dyDescent="0.2">
      <c r="B21" s="23" t="s">
        <v>27</v>
      </c>
      <c r="C21" s="83"/>
      <c r="D21" s="84"/>
      <c r="E21" s="85"/>
      <c r="F21" s="83"/>
      <c r="G21" s="84"/>
      <c r="H21" s="85"/>
      <c r="J21" s="23" t="s">
        <v>91</v>
      </c>
      <c r="K21" s="31" t="s">
        <v>92</v>
      </c>
    </row>
    <row r="22" spans="2:11" ht="12.75" thickBot="1" x14ac:dyDescent="0.25">
      <c r="B22" s="23" t="s">
        <v>63</v>
      </c>
      <c r="C22" s="41">
        <f>'RA-Main'!T105</f>
        <v>0</v>
      </c>
      <c r="D22" s="42">
        <f>'RA-Main'!U105</f>
        <v>0</v>
      </c>
      <c r="E22" s="43">
        <f>'RA-Main'!V105</f>
        <v>0</v>
      </c>
      <c r="F22" s="41">
        <f>'RA-HE10'!T105</f>
        <v>0</v>
      </c>
      <c r="G22" s="42">
        <f>'RA-HE10'!U105</f>
        <v>0</v>
      </c>
      <c r="H22" s="43">
        <f>'RA-HE10'!V105</f>
        <v>0</v>
      </c>
      <c r="J22" s="23" t="s">
        <v>93</v>
      </c>
      <c r="K22" s="31" t="s">
        <v>94</v>
      </c>
    </row>
    <row r="23" spans="2:11" ht="12.75" thickBot="1" x14ac:dyDescent="0.25">
      <c r="B23" s="55" t="s">
        <v>41</v>
      </c>
      <c r="C23" s="21">
        <f>'RA-Main'!T106</f>
        <v>0</v>
      </c>
      <c r="D23" s="21">
        <f>'RA-Main'!U106</f>
        <v>0</v>
      </c>
      <c r="E23" s="22">
        <f>'RA-Main'!V106</f>
        <v>0</v>
      </c>
      <c r="F23" s="21">
        <f>'RA-HE10'!T106</f>
        <v>0</v>
      </c>
      <c r="G23" s="21">
        <f>'RA-HE10'!U106</f>
        <v>0</v>
      </c>
      <c r="H23" s="22">
        <f>'RA-HE10'!V106</f>
        <v>0</v>
      </c>
      <c r="J23" s="32" t="s">
        <v>95</v>
      </c>
      <c r="K23" s="40" t="s">
        <v>96</v>
      </c>
    </row>
    <row r="24" spans="2:11" ht="12.75" thickBot="1" x14ac:dyDescent="0.25">
      <c r="B24" s="32"/>
      <c r="C24" s="53">
        <f>'RA-Main'!W106</f>
        <v>0</v>
      </c>
      <c r="D24" s="53">
        <f>'RA-Main'!X106</f>
        <v>0</v>
      </c>
      <c r="E24" s="54">
        <f>'RA-Main'!Y106</f>
        <v>0</v>
      </c>
      <c r="F24" s="53">
        <f>'RA-HE10'!W106</f>
        <v>0</v>
      </c>
      <c r="G24" s="53">
        <f>'RA-HE10'!X106</f>
        <v>0</v>
      </c>
      <c r="H24" s="54">
        <f>'RA-HE10'!Y106</f>
        <v>0</v>
      </c>
      <c r="J24" s="146" t="s">
        <v>97</v>
      </c>
      <c r="K24" s="147"/>
    </row>
    <row r="25" spans="2:11" x14ac:dyDescent="0.2">
      <c r="B25" s="23" t="s">
        <v>42</v>
      </c>
      <c r="C25" s="140">
        <f>'RA-Main'!U109</f>
        <v>0.99725432295932737</v>
      </c>
      <c r="D25" s="141"/>
      <c r="E25" s="142"/>
      <c r="F25" s="140">
        <f>'RA-HE10'!U109</f>
        <v>0.99713689541703532</v>
      </c>
      <c r="G25" s="141"/>
      <c r="H25" s="142"/>
    </row>
    <row r="26" spans="2:11" ht="12.75" thickBot="1" x14ac:dyDescent="0.25">
      <c r="B26" s="32" t="s">
        <v>43</v>
      </c>
      <c r="C26" s="143">
        <f>'RA-Main'!T109</f>
        <v>0.99700535314803262</v>
      </c>
      <c r="D26" s="144"/>
      <c r="E26" s="145"/>
      <c r="F26" s="143">
        <f>'RA-HE10'!T109</f>
        <v>0.99728137603917533</v>
      </c>
      <c r="G26" s="144"/>
      <c r="H26" s="145"/>
    </row>
    <row r="27" spans="2:11" ht="12.75" thickBot="1" x14ac:dyDescent="0.25"/>
    <row r="28" spans="2:11" x14ac:dyDescent="0.2">
      <c r="C28" s="137" t="s">
        <v>71</v>
      </c>
      <c r="D28" s="138"/>
      <c r="E28" s="139"/>
      <c r="F28" s="137" t="s">
        <v>75</v>
      </c>
      <c r="G28" s="138"/>
      <c r="H28" s="139"/>
    </row>
    <row r="29" spans="2:11" ht="12.75" thickBot="1" x14ac:dyDescent="0.25">
      <c r="C29" s="62" t="s">
        <v>38</v>
      </c>
      <c r="D29" s="9" t="s">
        <v>39</v>
      </c>
      <c r="E29" s="61" t="s">
        <v>40</v>
      </c>
      <c r="F29" s="62" t="s">
        <v>38</v>
      </c>
      <c r="G29" s="9" t="s">
        <v>39</v>
      </c>
      <c r="H29" s="61" t="s">
        <v>40</v>
      </c>
    </row>
    <row r="30" spans="2:11" x14ac:dyDescent="0.2">
      <c r="B30" s="13" t="s">
        <v>2</v>
      </c>
      <c r="C30" s="81"/>
      <c r="D30" s="82"/>
      <c r="E30" s="107"/>
      <c r="F30" s="81"/>
      <c r="G30" s="82"/>
      <c r="H30" s="107"/>
    </row>
    <row r="31" spans="2:11" x14ac:dyDescent="0.2">
      <c r="B31" s="23" t="s">
        <v>7</v>
      </c>
      <c r="C31" s="41">
        <f>'LB-Main'!T101</f>
        <v>0</v>
      </c>
      <c r="D31" s="42">
        <f>'LB-Main'!U101</f>
        <v>0</v>
      </c>
      <c r="E31" s="43">
        <f>'LB-Main'!V101</f>
        <v>0</v>
      </c>
      <c r="F31" s="41">
        <f>'LB-HE10'!T101</f>
        <v>0</v>
      </c>
      <c r="G31" s="42">
        <f>'LB-HE10'!U101</f>
        <v>0</v>
      </c>
      <c r="H31" s="43">
        <f>'LB-HE10'!V101</f>
        <v>0</v>
      </c>
    </row>
    <row r="32" spans="2:11" x14ac:dyDescent="0.2">
      <c r="B32" s="23" t="s">
        <v>14</v>
      </c>
      <c r="C32" s="41">
        <f>'LB-Main'!T102</f>
        <v>0</v>
      </c>
      <c r="D32" s="42">
        <f>'LB-Main'!U102</f>
        <v>0</v>
      </c>
      <c r="E32" s="43">
        <f>'LB-Main'!V102</f>
        <v>0</v>
      </c>
      <c r="F32" s="41">
        <f>'LB-HE10'!T102</f>
        <v>0</v>
      </c>
      <c r="G32" s="42">
        <f>'LB-HE10'!U102</f>
        <v>0</v>
      </c>
      <c r="H32" s="43">
        <f>'LB-HE10'!V102</f>
        <v>0</v>
      </c>
    </row>
    <row r="33" spans="2:8" x14ac:dyDescent="0.2">
      <c r="B33" s="23" t="s">
        <v>20</v>
      </c>
      <c r="C33" s="41">
        <f>'LB-Main'!T103</f>
        <v>0</v>
      </c>
      <c r="D33" s="42">
        <f>'LB-Main'!U103</f>
        <v>0</v>
      </c>
      <c r="E33" s="43">
        <f>'LB-Main'!V103</f>
        <v>0</v>
      </c>
      <c r="F33" s="41">
        <f>'LB-HE10'!T103</f>
        <v>0</v>
      </c>
      <c r="G33" s="42">
        <f>'LB-HE10'!U103</f>
        <v>0</v>
      </c>
      <c r="H33" s="43">
        <f>'LB-HE10'!V103</f>
        <v>0</v>
      </c>
    </row>
    <row r="34" spans="2:8" x14ac:dyDescent="0.2">
      <c r="B34" s="23" t="s">
        <v>27</v>
      </c>
      <c r="C34" s="41">
        <f>'LB-Main'!T104</f>
        <v>0</v>
      </c>
      <c r="D34" s="42">
        <f>'LB-Main'!U104</f>
        <v>0</v>
      </c>
      <c r="E34" s="43">
        <f>'LB-Main'!V104</f>
        <v>0</v>
      </c>
      <c r="F34" s="41">
        <f>'LB-HE10'!T104</f>
        <v>0</v>
      </c>
      <c r="G34" s="42">
        <f>'LB-HE10'!U104</f>
        <v>0</v>
      </c>
      <c r="H34" s="43">
        <f>'LB-HE10'!V104</f>
        <v>0</v>
      </c>
    </row>
    <row r="35" spans="2:8" ht="12.75" thickBot="1" x14ac:dyDescent="0.25">
      <c r="B35" s="23" t="s">
        <v>63</v>
      </c>
      <c r="C35" s="41">
        <f>'LB-Main'!T105</f>
        <v>0</v>
      </c>
      <c r="D35" s="42">
        <f>'LB-Main'!U105</f>
        <v>0</v>
      </c>
      <c r="E35" s="43">
        <f>'LB-Main'!V105</f>
        <v>0</v>
      </c>
      <c r="F35" s="41">
        <f>'LB-HE10'!T105</f>
        <v>0</v>
      </c>
      <c r="G35" s="42">
        <f>'LB-HE10'!U105</f>
        <v>0</v>
      </c>
      <c r="H35" s="43">
        <f>'LB-HE10'!V105</f>
        <v>0</v>
      </c>
    </row>
    <row r="36" spans="2:8" x14ac:dyDescent="0.2">
      <c r="B36" s="55" t="s">
        <v>41</v>
      </c>
      <c r="C36" s="21">
        <f>'LB-Main'!T106</f>
        <v>0</v>
      </c>
      <c r="D36" s="21">
        <f>'LB-Main'!U106</f>
        <v>0</v>
      </c>
      <c r="E36" s="22">
        <f>'LB-Main'!V106</f>
        <v>0</v>
      </c>
      <c r="F36" s="21">
        <f>'LB-HE10'!T106</f>
        <v>0</v>
      </c>
      <c r="G36" s="21">
        <f>'LB-HE10'!U106</f>
        <v>0</v>
      </c>
      <c r="H36" s="22">
        <f>'LB-HE10'!V106</f>
        <v>0</v>
      </c>
    </row>
    <row r="37" spans="2:8" ht="12.75" thickBot="1" x14ac:dyDescent="0.25">
      <c r="B37" s="32"/>
      <c r="C37" s="53">
        <f>'LB-Main'!W106</f>
        <v>0</v>
      </c>
      <c r="D37" s="53">
        <f>'LB-Main'!X106</f>
        <v>0</v>
      </c>
      <c r="E37" s="54">
        <f>'LB-Main'!Y106</f>
        <v>0</v>
      </c>
      <c r="F37" s="53">
        <f>'LB-HE10'!W106</f>
        <v>0</v>
      </c>
      <c r="G37" s="53">
        <f>'LB-HE10'!X106</f>
        <v>0</v>
      </c>
      <c r="H37" s="54">
        <f>'LB-HE10'!Y106</f>
        <v>0</v>
      </c>
    </row>
    <row r="38" spans="2:8" x14ac:dyDescent="0.2">
      <c r="B38" s="23" t="s">
        <v>42</v>
      </c>
      <c r="C38" s="140">
        <f>'LB-Main'!U109</f>
        <v>0.9976800973910821</v>
      </c>
      <c r="D38" s="141"/>
      <c r="E38" s="142"/>
      <c r="F38" s="140">
        <f>'LB-HE10'!U109</f>
        <v>0.99863941292310532</v>
      </c>
      <c r="G38" s="141"/>
      <c r="H38" s="142"/>
    </row>
    <row r="39" spans="2:8" ht="12.75" thickBot="1" x14ac:dyDescent="0.25">
      <c r="B39" s="32" t="s">
        <v>43</v>
      </c>
      <c r="C39" s="143">
        <f>'LB-Main'!T109</f>
        <v>0.99906143693722183</v>
      </c>
      <c r="D39" s="144"/>
      <c r="E39" s="145"/>
      <c r="F39" s="143">
        <f>'LB-HE10'!T109</f>
        <v>0.99826569956387001</v>
      </c>
      <c r="G39" s="144"/>
      <c r="H39" s="145"/>
    </row>
    <row r="40" spans="2:8" ht="12.75" thickBot="1" x14ac:dyDescent="0.25"/>
    <row r="41" spans="2:8" x14ac:dyDescent="0.2">
      <c r="C41" s="137" t="s">
        <v>72</v>
      </c>
      <c r="D41" s="138"/>
      <c r="E41" s="139"/>
      <c r="F41" s="137" t="s">
        <v>76</v>
      </c>
      <c r="G41" s="138"/>
      <c r="H41" s="139"/>
    </row>
    <row r="42" spans="2:8" ht="12.75" thickBot="1" x14ac:dyDescent="0.25">
      <c r="C42" s="62" t="s">
        <v>38</v>
      </c>
      <c r="D42" s="9" t="s">
        <v>39</v>
      </c>
      <c r="E42" s="61" t="s">
        <v>40</v>
      </c>
      <c r="F42" s="62" t="s">
        <v>38</v>
      </c>
      <c r="G42" s="9" t="s">
        <v>39</v>
      </c>
      <c r="H42" s="61" t="s">
        <v>40</v>
      </c>
    </row>
    <row r="43" spans="2:8" x14ac:dyDescent="0.2">
      <c r="B43" s="13" t="s">
        <v>2</v>
      </c>
      <c r="C43" s="81"/>
      <c r="D43" s="82"/>
      <c r="E43" s="107"/>
      <c r="F43" s="81"/>
      <c r="G43" s="82"/>
      <c r="H43" s="107"/>
    </row>
    <row r="44" spans="2:8" x14ac:dyDescent="0.2">
      <c r="B44" s="23" t="s">
        <v>7</v>
      </c>
      <c r="C44" s="41">
        <f>'LP-Main'!T101</f>
        <v>0</v>
      </c>
      <c r="D44" s="42">
        <f>'LP-Main'!U101</f>
        <v>0</v>
      </c>
      <c r="E44" s="43">
        <f>'LP-Main'!V101</f>
        <v>0</v>
      </c>
      <c r="F44" s="41">
        <f>'LP-HE10'!T101</f>
        <v>0</v>
      </c>
      <c r="G44" s="42">
        <f>'LP-HE10'!U101</f>
        <v>0</v>
      </c>
      <c r="H44" s="43">
        <f>'LP-HE10'!V101</f>
        <v>0</v>
      </c>
    </row>
    <row r="45" spans="2:8" x14ac:dyDescent="0.2">
      <c r="B45" s="23" t="s">
        <v>14</v>
      </c>
      <c r="C45" s="41">
        <f>'LP-Main'!T102</f>
        <v>0</v>
      </c>
      <c r="D45" s="42">
        <f>'LP-Main'!U102</f>
        <v>0</v>
      </c>
      <c r="E45" s="43">
        <f>'LP-Main'!V102</f>
        <v>0</v>
      </c>
      <c r="F45" s="41">
        <f>'LP-HE10'!T102</f>
        <v>0</v>
      </c>
      <c r="G45" s="42">
        <f>'LP-HE10'!U102</f>
        <v>0</v>
      </c>
      <c r="H45" s="43">
        <f>'LP-HE10'!V102</f>
        <v>0</v>
      </c>
    </row>
    <row r="46" spans="2:8" x14ac:dyDescent="0.2">
      <c r="B46" s="23" t="s">
        <v>20</v>
      </c>
      <c r="C46" s="41">
        <f>'LP-Main'!T103</f>
        <v>0</v>
      </c>
      <c r="D46" s="42">
        <f>'LP-Main'!U103</f>
        <v>0</v>
      </c>
      <c r="E46" s="43">
        <f>'LP-Main'!V103</f>
        <v>0</v>
      </c>
      <c r="F46" s="41">
        <f>'LP-HE10'!T103</f>
        <v>0</v>
      </c>
      <c r="G46" s="42">
        <f>'LP-HE10'!U103</f>
        <v>0</v>
      </c>
      <c r="H46" s="43">
        <f>'LP-HE10'!V103</f>
        <v>0</v>
      </c>
    </row>
    <row r="47" spans="2:8" x14ac:dyDescent="0.2">
      <c r="B47" s="23" t="s">
        <v>27</v>
      </c>
      <c r="C47" s="41">
        <f>'LP-Main'!T104</f>
        <v>0</v>
      </c>
      <c r="D47" s="42">
        <f>'LP-Main'!U104</f>
        <v>0</v>
      </c>
      <c r="E47" s="43">
        <f>'LP-Main'!V104</f>
        <v>0</v>
      </c>
      <c r="F47" s="41">
        <f>'LP-HE10'!T104</f>
        <v>0</v>
      </c>
      <c r="G47" s="42">
        <f>'LP-HE10'!U104</f>
        <v>0</v>
      </c>
      <c r="H47" s="43">
        <f>'LP-HE10'!V104</f>
        <v>0</v>
      </c>
    </row>
    <row r="48" spans="2:8" ht="12.75" thickBot="1" x14ac:dyDescent="0.25">
      <c r="B48" s="23" t="s">
        <v>63</v>
      </c>
      <c r="C48" s="41">
        <f>'LP-Main'!T105</f>
        <v>0</v>
      </c>
      <c r="D48" s="42">
        <f>'LP-Main'!U105</f>
        <v>0</v>
      </c>
      <c r="E48" s="43">
        <f>'LP-Main'!V105</f>
        <v>0</v>
      </c>
      <c r="F48" s="41">
        <f>'LP-HE10'!T105</f>
        <v>0</v>
      </c>
      <c r="G48" s="42">
        <f>'LP-HE10'!U105</f>
        <v>0</v>
      </c>
      <c r="H48" s="43">
        <f>'LP-HE10'!V105</f>
        <v>0</v>
      </c>
    </row>
    <row r="49" spans="2:8" x14ac:dyDescent="0.2">
      <c r="B49" s="55" t="s">
        <v>41</v>
      </c>
      <c r="C49" s="21">
        <f>'LP-Main'!T106</f>
        <v>0</v>
      </c>
      <c r="D49" s="21">
        <f>'LP-Main'!U106</f>
        <v>0</v>
      </c>
      <c r="E49" s="22">
        <f>'LP-Main'!V106</f>
        <v>0</v>
      </c>
      <c r="F49" s="21">
        <f>'LP-HE10'!T106</f>
        <v>0</v>
      </c>
      <c r="G49" s="21">
        <f>'LP-HE10'!U106</f>
        <v>0</v>
      </c>
      <c r="H49" s="22">
        <f>'LP-HE10'!V106</f>
        <v>0</v>
      </c>
    </row>
    <row r="50" spans="2:8" ht="12.75" thickBot="1" x14ac:dyDescent="0.25">
      <c r="B50" s="32"/>
      <c r="C50" s="53">
        <f>'LP-Main'!W106</f>
        <v>0</v>
      </c>
      <c r="D50" s="53">
        <f>'LP-Main'!X106</f>
        <v>0</v>
      </c>
      <c r="E50" s="54">
        <f>'LP-Main'!Y106</f>
        <v>0</v>
      </c>
      <c r="F50" s="53">
        <f>'LP-HE10'!W106</f>
        <v>0</v>
      </c>
      <c r="G50" s="53">
        <f>'LP-HE10'!X106</f>
        <v>0</v>
      </c>
      <c r="H50" s="54">
        <f>'LP-HE10'!Y106</f>
        <v>0</v>
      </c>
    </row>
    <row r="51" spans="2:8" x14ac:dyDescent="0.2">
      <c r="B51" s="23" t="s">
        <v>42</v>
      </c>
      <c r="C51" s="140">
        <f>'LP-Main'!U109</f>
        <v>0.9974426365325697</v>
      </c>
      <c r="D51" s="141"/>
      <c r="E51" s="142"/>
      <c r="F51" s="140">
        <f>'LP-HE10'!U109</f>
        <v>0.99809577262633054</v>
      </c>
      <c r="G51" s="141"/>
      <c r="H51" s="142"/>
    </row>
    <row r="52" spans="2:8" ht="12.75" thickBot="1" x14ac:dyDescent="0.25">
      <c r="B52" s="32" t="s">
        <v>43</v>
      </c>
      <c r="C52" s="143">
        <f>'LP-Main'!T109</f>
        <v>0.99741373435024305</v>
      </c>
      <c r="D52" s="144"/>
      <c r="E52" s="145"/>
      <c r="F52" s="143">
        <f>'LP-HE10'!T109</f>
        <v>0.99804427542916607</v>
      </c>
      <c r="G52" s="144"/>
      <c r="H52" s="145"/>
    </row>
  </sheetData>
  <mergeCells count="26">
    <mergeCell ref="C15:E15"/>
    <mergeCell ref="F15:H15"/>
    <mergeCell ref="C25:E25"/>
    <mergeCell ref="F25:H25"/>
    <mergeCell ref="C26:E26"/>
    <mergeCell ref="F26:H26"/>
    <mergeCell ref="J17:K17"/>
    <mergeCell ref="J24:K24"/>
    <mergeCell ref="C41:E41"/>
    <mergeCell ref="F41:H41"/>
    <mergeCell ref="C51:E51"/>
    <mergeCell ref="F51:H51"/>
    <mergeCell ref="C52:E52"/>
    <mergeCell ref="F52:H52"/>
    <mergeCell ref="C28:E28"/>
    <mergeCell ref="F28:H28"/>
    <mergeCell ref="C38:E38"/>
    <mergeCell ref="F38:H38"/>
    <mergeCell ref="C39:E39"/>
    <mergeCell ref="F39:H39"/>
    <mergeCell ref="C2:E2"/>
    <mergeCell ref="F2:H2"/>
    <mergeCell ref="C12:E12"/>
    <mergeCell ref="F12:H12"/>
    <mergeCell ref="C13:E13"/>
    <mergeCell ref="F13:H13"/>
  </mergeCells>
  <phoneticPr fontId="1" type="noConversion"/>
  <conditionalFormatting sqref="C43:H49 C30:H36 C17:H23 C4:H10">
    <cfRule type="cellIs" dxfId="59" priority="31" stopIfTrue="1" operator="greaterThan">
      <formula>0.03</formula>
    </cfRule>
    <cfRule type="cellIs" dxfId="58" priority="3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116"/>
  <sheetViews>
    <sheetView tabSelected="1" zoomScale="115" zoomScaleNormal="115" workbookViewId="0">
      <pane xSplit="3" ySplit="2" topLeftCell="D6" activePane="bottomRight" state="frozen"/>
      <selection pane="topRight" activeCell="D1" sqref="D1"/>
      <selection pane="bottomLeft" activeCell="A3" sqref="A3"/>
      <selection pane="bottomRight" activeCell="H34" sqref="H34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6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6" ht="12.75" thickBot="1" x14ac:dyDescent="0.25">
      <c r="A2" s="3"/>
      <c r="B2" s="4"/>
      <c r="C2" s="5" t="s">
        <v>1</v>
      </c>
      <c r="D2" s="6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8" t="s">
        <v>37</v>
      </c>
      <c r="K2" s="2"/>
      <c r="L2" s="6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8" t="s">
        <v>37</v>
      </c>
      <c r="S2" s="9"/>
      <c r="T2" s="6" t="s">
        <v>38</v>
      </c>
      <c r="U2" s="7" t="s">
        <v>39</v>
      </c>
      <c r="V2" s="8" t="s">
        <v>40</v>
      </c>
      <c r="W2" s="10" t="s">
        <v>38</v>
      </c>
      <c r="X2" s="11" t="s">
        <v>39</v>
      </c>
      <c r="Y2" s="12" t="s">
        <v>40</v>
      </c>
    </row>
    <row r="3" spans="1:26" x14ac:dyDescent="0.2">
      <c r="A3" s="13" t="s">
        <v>2</v>
      </c>
      <c r="B3" s="13" t="s">
        <v>103</v>
      </c>
      <c r="C3" s="13">
        <v>22</v>
      </c>
      <c r="D3" s="17">
        <v>101340.264</v>
      </c>
      <c r="E3" s="18">
        <v>43.356999999999999</v>
      </c>
      <c r="F3" s="18">
        <v>42.904800000000002</v>
      </c>
      <c r="G3" s="18">
        <v>44.757599999999996</v>
      </c>
      <c r="H3" s="18"/>
      <c r="I3" s="18"/>
      <c r="J3" s="16"/>
      <c r="L3" s="17">
        <v>101516.136</v>
      </c>
      <c r="M3" s="18">
        <v>43.359000000000002</v>
      </c>
      <c r="N3" s="18">
        <v>42.894399999999997</v>
      </c>
      <c r="O3" s="18">
        <v>44.745699999999999</v>
      </c>
      <c r="P3" s="18"/>
      <c r="Q3" s="18"/>
      <c r="R3" s="16"/>
      <c r="S3" s="19"/>
      <c r="T3" s="123">
        <f>bdrate($D3:$D6,E3:E6,$L3:$L6,M3:M6)</f>
        <v>2.7583014653005389E-3</v>
      </c>
      <c r="U3" s="124">
        <f>bdrate($D3:$D6,F3:F6,$L3:$L6,N3:N6)</f>
        <v>8.1257459699182188E-3</v>
      </c>
      <c r="V3" s="127">
        <f>bdrate($D3:$D6,G3:G6,$L3:$L6,O3:O6)</f>
        <v>1.0319881582235402E-2</v>
      </c>
      <c r="W3" s="20" t="e">
        <f ca="1">[1]!bdrateOld($D3:$D6,E3:E6,$L3:$L6,M3:M6)</f>
        <v>#NAME?</v>
      </c>
      <c r="X3" s="21" t="e">
        <f ca="1">[1]!bdrateOld($D3:$D6,F3:F6,$L3:$L6,N3:N6)</f>
        <v>#NAME?</v>
      </c>
      <c r="Y3" s="22" t="e">
        <f ca="1">[1]!bdrateOld($D3:$D6,G3:G6,$L3:$L6,O3:O6)</f>
        <v>#NAME?</v>
      </c>
      <c r="Z3" s="1">
        <f>(L3-D3)/D3</f>
        <v>1.7354602510212824E-3</v>
      </c>
    </row>
    <row r="4" spans="1:26" x14ac:dyDescent="0.2">
      <c r="A4" s="23" t="s">
        <v>4</v>
      </c>
      <c r="B4" s="23"/>
      <c r="C4" s="23">
        <v>27</v>
      </c>
      <c r="D4" s="27">
        <v>57054</v>
      </c>
      <c r="E4" s="28">
        <v>40.170400000000001</v>
      </c>
      <c r="F4" s="28">
        <v>40.2425</v>
      </c>
      <c r="G4" s="28">
        <v>42.288200000000003</v>
      </c>
      <c r="H4" s="28"/>
      <c r="I4" s="28"/>
      <c r="J4" s="26"/>
      <c r="L4" s="27">
        <v>57200.856</v>
      </c>
      <c r="M4" s="28">
        <v>40.174500000000002</v>
      </c>
      <c r="N4" s="28">
        <v>40.231000000000002</v>
      </c>
      <c r="O4" s="28">
        <v>42.261899999999997</v>
      </c>
      <c r="P4" s="28"/>
      <c r="Q4" s="28"/>
      <c r="R4" s="26"/>
      <c r="S4" s="19"/>
      <c r="T4" s="128"/>
      <c r="U4" s="44"/>
      <c r="V4" s="129"/>
      <c r="W4" s="29"/>
      <c r="X4" s="30"/>
      <c r="Y4" s="31"/>
      <c r="Z4" s="1">
        <f t="shared" ref="Z4:Z6" si="0">(L4-D4)/D4</f>
        <v>2.5739825428541343E-3</v>
      </c>
    </row>
    <row r="5" spans="1:26" x14ac:dyDescent="0.2">
      <c r="A5" s="23"/>
      <c r="B5" s="23"/>
      <c r="C5" s="23">
        <v>32</v>
      </c>
      <c r="D5" s="27">
        <v>32502.288</v>
      </c>
      <c r="E5" s="28">
        <v>37.125799999999998</v>
      </c>
      <c r="F5" s="28">
        <v>38.372199999999999</v>
      </c>
      <c r="G5" s="28">
        <v>40.522199999999998</v>
      </c>
      <c r="H5" s="28"/>
      <c r="I5" s="28"/>
      <c r="J5" s="26"/>
      <c r="L5" s="27">
        <v>32604.768</v>
      </c>
      <c r="M5" s="28">
        <v>37.124600000000001</v>
      </c>
      <c r="N5" s="28">
        <v>38.345100000000002</v>
      </c>
      <c r="O5" s="28">
        <v>40.497999999999998</v>
      </c>
      <c r="P5" s="28"/>
      <c r="Q5" s="28"/>
      <c r="R5" s="26"/>
      <c r="S5" s="19"/>
      <c r="T5" s="128"/>
      <c r="U5" s="44"/>
      <c r="V5" s="129"/>
      <c r="W5" s="29"/>
      <c r="X5" s="30"/>
      <c r="Y5" s="31"/>
      <c r="Z5" s="1">
        <f t="shared" si="0"/>
        <v>3.1530087974114178E-3</v>
      </c>
    </row>
    <row r="6" spans="1:26" ht="12.75" thickBot="1" x14ac:dyDescent="0.25">
      <c r="A6" s="23"/>
      <c r="B6" s="32"/>
      <c r="C6" s="32">
        <v>37</v>
      </c>
      <c r="D6" s="36">
        <v>18339.984</v>
      </c>
      <c r="E6" s="37">
        <v>34.111199999999997</v>
      </c>
      <c r="F6" s="37">
        <v>37.0871</v>
      </c>
      <c r="G6" s="37">
        <v>39.366100000000003</v>
      </c>
      <c r="H6" s="37"/>
      <c r="I6" s="37"/>
      <c r="J6" s="35"/>
      <c r="L6" s="36">
        <v>18398.856</v>
      </c>
      <c r="M6" s="37">
        <v>34.100299999999997</v>
      </c>
      <c r="N6" s="37">
        <v>37.0595</v>
      </c>
      <c r="O6" s="37">
        <v>39.338500000000003</v>
      </c>
      <c r="P6" s="37"/>
      <c r="Q6" s="37"/>
      <c r="R6" s="35"/>
      <c r="S6" s="19"/>
      <c r="T6" s="130"/>
      <c r="U6" s="131"/>
      <c r="V6" s="132"/>
      <c r="W6" s="38"/>
      <c r="X6" s="39"/>
      <c r="Y6" s="40"/>
      <c r="Z6" s="1">
        <f t="shared" si="0"/>
        <v>3.2100355158433827E-3</v>
      </c>
    </row>
    <row r="7" spans="1:26" x14ac:dyDescent="0.2">
      <c r="A7" s="23"/>
      <c r="B7" s="13" t="s">
        <v>104</v>
      </c>
      <c r="C7" s="13">
        <v>22</v>
      </c>
      <c r="D7" s="17">
        <v>104836.75199999999</v>
      </c>
      <c r="E7" s="18">
        <v>43.261800000000001</v>
      </c>
      <c r="F7" s="18">
        <v>45.526299999999999</v>
      </c>
      <c r="G7" s="18">
        <v>45.270499999999998</v>
      </c>
      <c r="H7" s="18"/>
      <c r="I7" s="18"/>
      <c r="J7" s="16"/>
      <c r="L7" s="17">
        <v>105076.03200000001</v>
      </c>
      <c r="M7" s="18">
        <v>43.2654</v>
      </c>
      <c r="N7" s="18">
        <v>45.514499999999998</v>
      </c>
      <c r="O7" s="18">
        <v>45.261899999999997</v>
      </c>
      <c r="P7" s="18"/>
      <c r="Q7" s="18"/>
      <c r="R7" s="16"/>
      <c r="S7" s="19"/>
      <c r="T7" s="123">
        <f>bdrate($D7:$D10,E7:E10,$L7:$L10,M7:M10)</f>
        <v>3.9134790477033388E-3</v>
      </c>
      <c r="U7" s="124">
        <f>bdrate($D7:$D10,F7:F10,$L7:$L10,N7:N10)</f>
        <v>1.304339777626784E-2</v>
      </c>
      <c r="V7" s="124">
        <f>bdrate($D7:$D10,G7:G10,$L7:$L10,O7:O10)</f>
        <v>1.367885056424134E-2</v>
      </c>
      <c r="W7" s="41" t="e">
        <f ca="1">[1]!bdrateOld($D7:$D10,E7:E10,$L7:$L10,M7:M10)</f>
        <v>#NAME?</v>
      </c>
      <c r="X7" s="42" t="e">
        <f ca="1">[1]!bdrateOld($D7:$D10,F7:F10,$L7:$L10,N7:N10)</f>
        <v>#NAME?</v>
      </c>
      <c r="Y7" s="43" t="e">
        <f ca="1">[1]!bdrateOld($D7:$D10,G7:G10,$L7:$L10,O7:O10)</f>
        <v>#NAME?</v>
      </c>
      <c r="Z7" s="1">
        <f>(L7-D7)/D7</f>
        <v>2.2824056968114904E-3</v>
      </c>
    </row>
    <row r="8" spans="1:26" x14ac:dyDescent="0.2">
      <c r="A8" s="23"/>
      <c r="B8" s="23"/>
      <c r="C8" s="23">
        <v>27</v>
      </c>
      <c r="D8" s="27">
        <v>60967.896000000001</v>
      </c>
      <c r="E8" s="28">
        <v>39.818100000000001</v>
      </c>
      <c r="F8" s="28">
        <v>43.1038</v>
      </c>
      <c r="G8" s="28">
        <v>43.436599999999999</v>
      </c>
      <c r="H8" s="28"/>
      <c r="I8" s="28"/>
      <c r="J8" s="26"/>
      <c r="L8" s="27">
        <v>61175.063999999998</v>
      </c>
      <c r="M8" s="28">
        <v>39.823599999999999</v>
      </c>
      <c r="N8" s="28">
        <v>43.081899999999997</v>
      </c>
      <c r="O8" s="28">
        <v>43.408499999999997</v>
      </c>
      <c r="P8" s="28"/>
      <c r="Q8" s="28"/>
      <c r="R8" s="26"/>
      <c r="S8" s="19"/>
      <c r="T8" s="128"/>
      <c r="U8" s="44"/>
      <c r="V8" s="44"/>
      <c r="W8" s="29"/>
      <c r="X8" s="30"/>
      <c r="Y8" s="31"/>
      <c r="Z8" s="1">
        <f t="shared" ref="Z8:Z71" si="1">(L8-D8)/D8</f>
        <v>3.3979850641392946E-3</v>
      </c>
    </row>
    <row r="9" spans="1:26" x14ac:dyDescent="0.2">
      <c r="A9" s="23"/>
      <c r="B9" s="23"/>
      <c r="C9" s="23">
        <v>32</v>
      </c>
      <c r="D9" s="27">
        <v>34859.256000000001</v>
      </c>
      <c r="E9" s="28">
        <v>36.691000000000003</v>
      </c>
      <c r="F9" s="28">
        <v>41.116199999999999</v>
      </c>
      <c r="G9" s="28">
        <v>41.749600000000001</v>
      </c>
      <c r="H9" s="28"/>
      <c r="I9" s="28"/>
      <c r="J9" s="26"/>
      <c r="L9" s="27">
        <v>35057.423999999999</v>
      </c>
      <c r="M9" s="28">
        <v>36.6935</v>
      </c>
      <c r="N9" s="28">
        <v>41.070300000000003</v>
      </c>
      <c r="O9" s="28">
        <v>41.718499999999999</v>
      </c>
      <c r="P9" s="28"/>
      <c r="Q9" s="28"/>
      <c r="R9" s="26"/>
      <c r="S9" s="19"/>
      <c r="T9" s="128"/>
      <c r="U9" s="44"/>
      <c r="V9" s="44"/>
      <c r="W9" s="29"/>
      <c r="X9" s="30"/>
      <c r="Y9" s="31"/>
      <c r="Z9" s="1">
        <f t="shared" si="1"/>
        <v>5.6848029114562239E-3</v>
      </c>
    </row>
    <row r="10" spans="1:26" ht="12.75" thickBot="1" x14ac:dyDescent="0.25">
      <c r="A10" s="23"/>
      <c r="B10" s="32"/>
      <c r="C10" s="32">
        <v>37</v>
      </c>
      <c r="D10" s="36">
        <v>20454.671999999999</v>
      </c>
      <c r="E10" s="37">
        <v>33.8322</v>
      </c>
      <c r="F10" s="37">
        <v>39.617400000000004</v>
      </c>
      <c r="G10" s="37">
        <v>40.475299999999997</v>
      </c>
      <c r="H10" s="37"/>
      <c r="I10" s="37"/>
      <c r="J10" s="35"/>
      <c r="L10" s="36">
        <v>20576.975999999999</v>
      </c>
      <c r="M10" s="37">
        <v>33.822800000000001</v>
      </c>
      <c r="N10" s="37">
        <v>39.572299999999998</v>
      </c>
      <c r="O10" s="37">
        <v>40.440899999999999</v>
      </c>
      <c r="P10" s="37"/>
      <c r="Q10" s="37"/>
      <c r="R10" s="35"/>
      <c r="S10" s="19"/>
      <c r="T10" s="130"/>
      <c r="U10" s="131"/>
      <c r="V10" s="131"/>
      <c r="W10" s="38"/>
      <c r="X10" s="39"/>
      <c r="Y10" s="40"/>
      <c r="Z10" s="1">
        <f t="shared" si="1"/>
        <v>5.9792696749182824E-3</v>
      </c>
    </row>
    <row r="11" spans="1:26" x14ac:dyDescent="0.2">
      <c r="A11" s="64"/>
      <c r="B11" s="13" t="s">
        <v>106</v>
      </c>
      <c r="C11" s="13">
        <v>22</v>
      </c>
      <c r="D11" s="17">
        <v>400948.46399999998</v>
      </c>
      <c r="E11" s="18">
        <v>42.231200000000001</v>
      </c>
      <c r="F11" s="18">
        <v>40.881700000000002</v>
      </c>
      <c r="G11" s="18">
        <v>40.331299999999999</v>
      </c>
      <c r="H11" s="18"/>
      <c r="I11" s="18"/>
      <c r="J11" s="16"/>
      <c r="L11" s="17">
        <v>401116.22399999999</v>
      </c>
      <c r="M11" s="18">
        <v>42.230499999999999</v>
      </c>
      <c r="N11" s="18">
        <v>40.880299999999998</v>
      </c>
      <c r="O11" s="18">
        <v>40.331800000000001</v>
      </c>
      <c r="P11" s="18"/>
      <c r="Q11" s="18"/>
      <c r="R11" s="16"/>
      <c r="S11" s="19"/>
      <c r="T11" s="123">
        <f>bdrate($D11:$D14,E11:E14,$L11:$L14,M11:M14)</f>
        <v>7.2837151686488966E-4</v>
      </c>
      <c r="U11" s="124">
        <f>bdrate($D11:$D14,F11:F14,$L11:$L14,N11:N14)</f>
        <v>1.1476642475554133E-3</v>
      </c>
      <c r="V11" s="124">
        <f>bdrate($D11:$D14,G11:G14,$L11:$L14,O11:O14)</f>
        <v>5.2363095345220323E-4</v>
      </c>
      <c r="W11" s="41" t="e">
        <f ca="1">[1]!bdrateOld($D11:$D14,E11:E14,$L11:$L14,M11:M14)</f>
        <v>#NAME?</v>
      </c>
      <c r="X11" s="42" t="e">
        <f ca="1">[1]!bdrateOld($D11:$D14,F11:F14,$L11:$L14,N11:N14)</f>
        <v>#NAME?</v>
      </c>
      <c r="Y11" s="43" t="e">
        <f ca="1">[1]!bdrateOld($D11:$D14,G11:G14,$L11:$L14,O11:O14)</f>
        <v>#NAME?</v>
      </c>
      <c r="Z11" s="1">
        <f t="shared" si="1"/>
        <v>4.1840788795242603E-4</v>
      </c>
    </row>
    <row r="12" spans="1:26" x14ac:dyDescent="0.2">
      <c r="A12" s="64"/>
      <c r="B12" s="23"/>
      <c r="C12" s="23">
        <v>27</v>
      </c>
      <c r="D12" s="27">
        <v>246964.22399999999</v>
      </c>
      <c r="E12" s="28">
        <v>38.652799999999999</v>
      </c>
      <c r="F12" s="28">
        <v>38.468800000000002</v>
      </c>
      <c r="G12" s="28">
        <v>37.1126</v>
      </c>
      <c r="H12" s="28"/>
      <c r="I12" s="28"/>
      <c r="J12" s="26"/>
      <c r="L12" s="27">
        <v>247086.48</v>
      </c>
      <c r="M12" s="28">
        <v>38.651499999999999</v>
      </c>
      <c r="N12" s="28">
        <v>38.464599999999997</v>
      </c>
      <c r="O12" s="28">
        <v>37.113999999999997</v>
      </c>
      <c r="P12" s="28"/>
      <c r="Q12" s="28"/>
      <c r="R12" s="26"/>
      <c r="S12" s="19"/>
      <c r="T12" s="128"/>
      <c r="U12" s="44"/>
      <c r="V12" s="44"/>
      <c r="W12" s="29"/>
      <c r="X12" s="30"/>
      <c r="Y12" s="31"/>
      <c r="Z12" s="1">
        <f t="shared" si="1"/>
        <v>4.9503526470304887E-4</v>
      </c>
    </row>
    <row r="13" spans="1:26" x14ac:dyDescent="0.2">
      <c r="A13" s="64"/>
      <c r="B13" s="23"/>
      <c r="C13" s="23">
        <v>32</v>
      </c>
      <c r="D13" s="27">
        <v>153241.39199999999</v>
      </c>
      <c r="E13" s="28">
        <v>34.755200000000002</v>
      </c>
      <c r="F13" s="28">
        <v>36.8889</v>
      </c>
      <c r="G13" s="28">
        <v>35.668700000000001</v>
      </c>
      <c r="H13" s="28"/>
      <c r="I13" s="28"/>
      <c r="J13" s="26"/>
      <c r="L13" s="27">
        <v>153337.39199999999</v>
      </c>
      <c r="M13" s="28">
        <v>34.753999999999998</v>
      </c>
      <c r="N13" s="28">
        <v>36.891800000000003</v>
      </c>
      <c r="O13" s="28">
        <v>35.670099999999998</v>
      </c>
      <c r="P13" s="28"/>
      <c r="Q13" s="28"/>
      <c r="R13" s="26"/>
      <c r="S13" s="19"/>
      <c r="T13" s="128"/>
      <c r="U13" s="44"/>
      <c r="V13" s="44"/>
      <c r="W13" s="29"/>
      <c r="X13" s="30"/>
      <c r="Y13" s="31"/>
      <c r="Z13" s="1">
        <f t="shared" si="1"/>
        <v>6.2646259438833602E-4</v>
      </c>
    </row>
    <row r="14" spans="1:26" ht="12.75" thickBot="1" x14ac:dyDescent="0.25">
      <c r="A14" s="64"/>
      <c r="B14" s="32"/>
      <c r="C14" s="32">
        <v>37</v>
      </c>
      <c r="D14" s="36">
        <v>80804.399999999994</v>
      </c>
      <c r="E14" s="37">
        <v>30.638300000000001</v>
      </c>
      <c r="F14" s="37">
        <v>35.704799999999999</v>
      </c>
      <c r="G14" s="37">
        <v>34.542200000000001</v>
      </c>
      <c r="H14" s="37"/>
      <c r="I14" s="37"/>
      <c r="J14" s="35"/>
      <c r="L14" s="36">
        <v>80915.567999999999</v>
      </c>
      <c r="M14" s="37">
        <v>30.640999999999998</v>
      </c>
      <c r="N14" s="37">
        <v>35.699100000000001</v>
      </c>
      <c r="O14" s="37">
        <v>34.536700000000003</v>
      </c>
      <c r="P14" s="37"/>
      <c r="Q14" s="37"/>
      <c r="R14" s="35"/>
      <c r="S14" s="19"/>
      <c r="T14" s="130"/>
      <c r="U14" s="131"/>
      <c r="V14" s="131"/>
      <c r="W14" s="38"/>
      <c r="X14" s="39"/>
      <c r="Y14" s="40"/>
      <c r="Z14" s="1">
        <f t="shared" si="1"/>
        <v>1.3757666661717077E-3</v>
      </c>
    </row>
    <row r="15" spans="1:26" x14ac:dyDescent="0.2">
      <c r="A15" s="64"/>
      <c r="B15" s="13" t="s">
        <v>105</v>
      </c>
      <c r="C15" s="13">
        <v>22</v>
      </c>
      <c r="D15" s="17">
        <v>89092.127999999997</v>
      </c>
      <c r="E15" s="18">
        <v>43.746000000000002</v>
      </c>
      <c r="F15" s="18">
        <v>46.680100000000003</v>
      </c>
      <c r="G15" s="18">
        <v>46.325299999999999</v>
      </c>
      <c r="H15" s="18"/>
      <c r="I15" s="18"/>
      <c r="J15" s="16"/>
      <c r="L15" s="17">
        <v>89069.423999999999</v>
      </c>
      <c r="M15" s="18">
        <v>43.740099999999998</v>
      </c>
      <c r="N15" s="18">
        <v>46.674700000000001</v>
      </c>
      <c r="O15" s="18">
        <v>46.320799999999998</v>
      </c>
      <c r="P15" s="18"/>
      <c r="Q15" s="18"/>
      <c r="R15" s="16"/>
      <c r="S15" s="19"/>
      <c r="T15" s="123">
        <f>bdrate($D15:$D18,E15:E18,$L15:$L18,M15:M18)</f>
        <v>4.3760593745971743E-3</v>
      </c>
      <c r="U15" s="124">
        <f>bdrate($D15:$D18,F15:F18,$L15:$L18,N15:N18)</f>
        <v>6.4658764249293732E-2</v>
      </c>
      <c r="V15" s="124">
        <f>bdrate($D15:$D18,G15:G18,$L15:$L18,O15:O18)</f>
        <v>5.6411393975454249E-2</v>
      </c>
      <c r="W15" s="41" t="e">
        <f ca="1">[1]!bdrateOld($D15:$D18,E15:E18,$L15:$L18,M15:M18)</f>
        <v>#NAME?</v>
      </c>
      <c r="X15" s="42" t="e">
        <f ca="1">[1]!bdrateOld($D15:$D18,F15:F18,$L15:$L18,N15:N18)</f>
        <v>#NAME?</v>
      </c>
      <c r="Y15" s="43" t="e">
        <f ca="1">[1]!bdrateOld($D15:$D18,G15:G18,$L15:$L18,O15:O18)</f>
        <v>#NAME?</v>
      </c>
      <c r="Z15" s="1">
        <f t="shared" si="1"/>
        <v>-2.5483732973577536E-4</v>
      </c>
    </row>
    <row r="16" spans="1:26" x14ac:dyDescent="0.2">
      <c r="A16" s="64"/>
      <c r="B16" s="122" t="s">
        <v>107</v>
      </c>
      <c r="C16" s="23">
        <v>27</v>
      </c>
      <c r="D16" s="27">
        <v>38870.351999999999</v>
      </c>
      <c r="E16" s="28">
        <v>41.468600000000002</v>
      </c>
      <c r="F16" s="28">
        <v>45.936300000000003</v>
      </c>
      <c r="G16" s="28">
        <v>45.712699999999998</v>
      </c>
      <c r="H16" s="28"/>
      <c r="I16" s="28"/>
      <c r="J16" s="26"/>
      <c r="L16" s="27">
        <v>38949.792000000001</v>
      </c>
      <c r="M16" s="28">
        <v>41.468200000000003</v>
      </c>
      <c r="N16" s="28">
        <v>45.915300000000002</v>
      </c>
      <c r="O16" s="28">
        <v>45.695399999999999</v>
      </c>
      <c r="P16" s="28"/>
      <c r="Q16" s="28"/>
      <c r="R16" s="26"/>
      <c r="S16" s="19"/>
      <c r="T16" s="128"/>
      <c r="U16" s="44"/>
      <c r="V16" s="44"/>
      <c r="W16" s="29"/>
      <c r="X16" s="30"/>
      <c r="Y16" s="31"/>
      <c r="Z16" s="1">
        <f t="shared" si="1"/>
        <v>2.0437170211374039E-3</v>
      </c>
    </row>
    <row r="17" spans="1:26" x14ac:dyDescent="0.2">
      <c r="A17" s="64"/>
      <c r="B17" s="23"/>
      <c r="C17" s="23">
        <v>32</v>
      </c>
      <c r="D17" s="27">
        <v>21543.360000000001</v>
      </c>
      <c r="E17" s="28">
        <v>40.071899999999999</v>
      </c>
      <c r="F17" s="28">
        <v>45.376800000000003</v>
      </c>
      <c r="G17" s="28">
        <v>45.309199999999997</v>
      </c>
      <c r="H17" s="28"/>
      <c r="I17" s="28"/>
      <c r="J17" s="26"/>
      <c r="L17" s="27">
        <v>21606.959999999999</v>
      </c>
      <c r="M17" s="28">
        <v>40.064399999999999</v>
      </c>
      <c r="N17" s="28">
        <v>45.269500000000001</v>
      </c>
      <c r="O17" s="28">
        <v>45.250999999999998</v>
      </c>
      <c r="P17" s="28"/>
      <c r="Q17" s="28"/>
      <c r="R17" s="26"/>
      <c r="S17" s="19"/>
      <c r="T17" s="128"/>
      <c r="U17" s="44"/>
      <c r="V17" s="44"/>
      <c r="W17" s="29"/>
      <c r="X17" s="30"/>
      <c r="Y17" s="31"/>
      <c r="Z17" s="1">
        <f t="shared" si="1"/>
        <v>2.9521857314735744E-3</v>
      </c>
    </row>
    <row r="18" spans="1:26" ht="12.75" thickBot="1" x14ac:dyDescent="0.25">
      <c r="A18" s="65"/>
      <c r="B18" s="32"/>
      <c r="C18" s="32">
        <v>37</v>
      </c>
      <c r="D18" s="36">
        <v>11974.175999999999</v>
      </c>
      <c r="E18" s="37">
        <v>38.508400000000002</v>
      </c>
      <c r="F18" s="37">
        <v>44.925899999999999</v>
      </c>
      <c r="G18" s="37">
        <v>44.900599999999997</v>
      </c>
      <c r="H18" s="37"/>
      <c r="I18" s="37"/>
      <c r="J18" s="35"/>
      <c r="L18" s="36">
        <v>12029.951999999999</v>
      </c>
      <c r="M18" s="37">
        <v>38.485100000000003</v>
      </c>
      <c r="N18" s="37">
        <v>44.750700000000002</v>
      </c>
      <c r="O18" s="37">
        <v>44.700200000000002</v>
      </c>
      <c r="P18" s="37"/>
      <c r="Q18" s="37"/>
      <c r="R18" s="35"/>
      <c r="S18" s="19"/>
      <c r="T18" s="130"/>
      <c r="U18" s="131"/>
      <c r="V18" s="131"/>
      <c r="W18" s="38"/>
      <c r="X18" s="39"/>
      <c r="Y18" s="40"/>
      <c r="Z18" s="1">
        <f t="shared" si="1"/>
        <v>4.6580240677938792E-3</v>
      </c>
    </row>
    <row r="19" spans="1:26" x14ac:dyDescent="0.2">
      <c r="A19" s="13" t="s">
        <v>7</v>
      </c>
      <c r="B19" s="13" t="s">
        <v>8</v>
      </c>
      <c r="C19" s="13">
        <v>22</v>
      </c>
      <c r="D19" s="14">
        <v>22959.033599999999</v>
      </c>
      <c r="E19" s="15">
        <v>42.635300000000001</v>
      </c>
      <c r="F19" s="15">
        <v>44.397100000000002</v>
      </c>
      <c r="G19" s="15">
        <v>45.839799999999997</v>
      </c>
      <c r="H19" s="15"/>
      <c r="I19" s="15"/>
      <c r="J19" s="16"/>
      <c r="L19" s="14">
        <v>22965.196800000002</v>
      </c>
      <c r="M19" s="15">
        <v>42.631100000000004</v>
      </c>
      <c r="N19" s="15">
        <v>44.391399999999997</v>
      </c>
      <c r="O19" s="15">
        <v>45.832999999999998</v>
      </c>
      <c r="P19" s="15"/>
      <c r="Q19" s="15"/>
      <c r="R19" s="16"/>
      <c r="S19" s="19"/>
      <c r="T19" s="123">
        <f>bdrate($D19:$D22,E19:E22,$L19:$L22,M19:M22)</f>
        <v>2.6785254726355845E-3</v>
      </c>
      <c r="U19" s="124">
        <f>bdrate($D19:$D22,F19:F22,$L19:$L22,N19:N22)</f>
        <v>5.3008926388722344E-3</v>
      </c>
      <c r="V19" s="124">
        <f>bdrate($D19:$D22,G19:G22,$L19:$L22,O19:O22)</f>
        <v>6.872723653005286E-3</v>
      </c>
      <c r="W19" s="41" t="e">
        <f ca="1">[1]!bdrateOld($D19:$D22,E19:E22,$L19:$L22,M19:M22)</f>
        <v>#NAME?</v>
      </c>
      <c r="X19" s="42" t="e">
        <f ca="1">[1]!bdrateOld($D19:$D22,F19:F22,$L19:$L22,N19:N22)</f>
        <v>#NAME?</v>
      </c>
      <c r="Y19" s="43" t="e">
        <f ca="1">[1]!bdrateOld($D19:$D22,G19:G22,$L19:$L22,O19:O22)</f>
        <v>#NAME?</v>
      </c>
      <c r="Z19" s="1">
        <f t="shared" si="1"/>
        <v>2.6844335468905318E-4</v>
      </c>
    </row>
    <row r="20" spans="1:26" x14ac:dyDescent="0.2">
      <c r="A20" s="23" t="s">
        <v>9</v>
      </c>
      <c r="B20" s="23"/>
      <c r="C20" s="23">
        <v>27</v>
      </c>
      <c r="D20" s="24">
        <v>12450.4128</v>
      </c>
      <c r="E20" s="25">
        <v>40.879100000000001</v>
      </c>
      <c r="F20" s="25">
        <v>42.552100000000003</v>
      </c>
      <c r="G20" s="25">
        <v>43.539700000000003</v>
      </c>
      <c r="H20" s="25"/>
      <c r="I20" s="25"/>
      <c r="J20" s="26"/>
      <c r="L20" s="24">
        <v>12468.2688</v>
      </c>
      <c r="M20" s="25">
        <v>40.876800000000003</v>
      </c>
      <c r="N20" s="25">
        <v>42.548999999999999</v>
      </c>
      <c r="O20" s="25">
        <v>43.530099999999997</v>
      </c>
      <c r="P20" s="25"/>
      <c r="Q20" s="25"/>
      <c r="R20" s="26"/>
      <c r="S20" s="19"/>
      <c r="T20" s="128"/>
      <c r="U20" s="44"/>
      <c r="V20" s="44"/>
      <c r="W20" s="29"/>
      <c r="X20" s="30"/>
      <c r="Y20" s="31"/>
      <c r="Z20" s="1">
        <f t="shared" si="1"/>
        <v>1.4341693152535285E-3</v>
      </c>
    </row>
    <row r="21" spans="1:26" x14ac:dyDescent="0.2">
      <c r="A21" s="23"/>
      <c r="B21" s="23"/>
      <c r="C21" s="23">
        <v>32</v>
      </c>
      <c r="D21" s="24">
        <v>6940.6656000000003</v>
      </c>
      <c r="E21" s="25">
        <v>38.787300000000002</v>
      </c>
      <c r="F21" s="25">
        <v>41.099400000000003</v>
      </c>
      <c r="G21" s="25">
        <v>42.023899999999998</v>
      </c>
      <c r="H21" s="25"/>
      <c r="I21" s="25"/>
      <c r="J21" s="26"/>
      <c r="L21" s="24">
        <v>6950.1887999999999</v>
      </c>
      <c r="M21" s="25">
        <v>38.779800000000002</v>
      </c>
      <c r="N21" s="25">
        <v>41.088999999999999</v>
      </c>
      <c r="O21" s="25">
        <v>42.006700000000002</v>
      </c>
      <c r="P21" s="25"/>
      <c r="Q21" s="25"/>
      <c r="R21" s="26"/>
      <c r="S21" s="19"/>
      <c r="T21" s="128"/>
      <c r="U21" s="44"/>
      <c r="V21" s="44"/>
      <c r="W21" s="29"/>
      <c r="X21" s="30"/>
      <c r="Y21" s="31"/>
      <c r="Z21" s="1">
        <f t="shared" si="1"/>
        <v>1.3720874263124898E-3</v>
      </c>
    </row>
    <row r="22" spans="1:26" ht="12.75" thickBot="1" x14ac:dyDescent="0.25">
      <c r="A22" s="23"/>
      <c r="B22" s="32"/>
      <c r="C22" s="32">
        <v>37</v>
      </c>
      <c r="D22" s="33">
        <v>3818.1120000000001</v>
      </c>
      <c r="E22" s="34">
        <v>36.3386</v>
      </c>
      <c r="F22" s="34">
        <v>40.0792</v>
      </c>
      <c r="G22" s="34">
        <v>41.127200000000002</v>
      </c>
      <c r="H22" s="34"/>
      <c r="I22" s="34"/>
      <c r="J22" s="35"/>
      <c r="L22" s="33">
        <v>3826.4832000000001</v>
      </c>
      <c r="M22" s="34">
        <v>36.337299999999999</v>
      </c>
      <c r="N22" s="34">
        <v>40.046999999999997</v>
      </c>
      <c r="O22" s="34">
        <v>41.093899999999998</v>
      </c>
      <c r="P22" s="34"/>
      <c r="Q22" s="34"/>
      <c r="R22" s="35"/>
      <c r="S22" s="19"/>
      <c r="T22" s="130"/>
      <c r="U22" s="131"/>
      <c r="V22" s="131"/>
      <c r="W22" s="38"/>
      <c r="X22" s="39"/>
      <c r="Y22" s="40"/>
      <c r="Z22" s="1">
        <f t="shared" si="1"/>
        <v>2.192497234235152E-3</v>
      </c>
    </row>
    <row r="23" spans="1:26" x14ac:dyDescent="0.2">
      <c r="A23" s="23"/>
      <c r="B23" s="13" t="s">
        <v>10</v>
      </c>
      <c r="C23" s="13">
        <v>22</v>
      </c>
      <c r="D23" s="14">
        <v>53021.049599999998</v>
      </c>
      <c r="E23" s="15">
        <v>41.691000000000003</v>
      </c>
      <c r="F23" s="15">
        <v>43.207900000000002</v>
      </c>
      <c r="G23" s="15">
        <v>44.046700000000001</v>
      </c>
      <c r="H23" s="15"/>
      <c r="I23" s="15"/>
      <c r="J23" s="16"/>
      <c r="L23" s="14">
        <v>53037.849600000001</v>
      </c>
      <c r="M23" s="15">
        <v>41.691499999999998</v>
      </c>
      <c r="N23" s="15">
        <v>43.197899999999997</v>
      </c>
      <c r="O23" s="15">
        <v>44.031999999999996</v>
      </c>
      <c r="P23" s="15"/>
      <c r="Q23" s="15"/>
      <c r="R23" s="16"/>
      <c r="S23" s="19"/>
      <c r="T23" s="123">
        <f>bdrate($D23:$D26,E23:E26,$L23:$L26,M23:M26)</f>
        <v>1.0394792202572667E-4</v>
      </c>
      <c r="U23" s="124">
        <f>bdrate($D23:$D26,F23:F26,$L23:$L26,N23:N26)</f>
        <v>7.1920156606071206E-3</v>
      </c>
      <c r="V23" s="124">
        <f>bdrate($D23:$D26,G23:G26,$L23:$L26,O23:O26)</f>
        <v>6.0177669436400905E-3</v>
      </c>
      <c r="W23" s="41" t="e">
        <f ca="1">[1]!bdrateOld($D23:$D26,E23:E26,$L23:$L26,M23:M26)</f>
        <v>#NAME?</v>
      </c>
      <c r="X23" s="42" t="e">
        <f ca="1">[1]!bdrateOld($D23:$D26,F23:F26,$L23:$L26,N23:N26)</f>
        <v>#NAME?</v>
      </c>
      <c r="Y23" s="43" t="e">
        <f ca="1">[1]!bdrateOld($D23:$D26,G23:G26,$L23:$L26,O23:O26)</f>
        <v>#NAME?</v>
      </c>
      <c r="Z23" s="1">
        <f t="shared" si="1"/>
        <v>3.1685528911149489E-4</v>
      </c>
    </row>
    <row r="24" spans="1:26" x14ac:dyDescent="0.2">
      <c r="A24" s="23"/>
      <c r="B24" s="23"/>
      <c r="C24" s="23">
        <v>27</v>
      </c>
      <c r="D24" s="24">
        <v>28772.236799999999</v>
      </c>
      <c r="E24" s="25">
        <v>38.588900000000002</v>
      </c>
      <c r="F24" s="25">
        <v>40.564399999999999</v>
      </c>
      <c r="G24" s="25">
        <v>41.276899999999998</v>
      </c>
      <c r="H24" s="25"/>
      <c r="I24" s="25"/>
      <c r="J24" s="26"/>
      <c r="L24" s="24">
        <v>28754.1312</v>
      </c>
      <c r="M24" s="25">
        <v>38.5867</v>
      </c>
      <c r="N24" s="25">
        <v>40.547499999999999</v>
      </c>
      <c r="O24" s="25">
        <v>41.262799999999999</v>
      </c>
      <c r="P24" s="25"/>
      <c r="Q24" s="25"/>
      <c r="R24" s="26"/>
      <c r="S24" s="19"/>
      <c r="T24" s="128"/>
      <c r="U24" s="44"/>
      <c r="V24" s="44"/>
      <c r="W24" s="29"/>
      <c r="X24" s="30"/>
      <c r="Y24" s="31"/>
      <c r="Z24" s="1">
        <f t="shared" si="1"/>
        <v>-6.2927328611444482E-4</v>
      </c>
    </row>
    <row r="25" spans="1:26" x14ac:dyDescent="0.2">
      <c r="A25" s="23"/>
      <c r="B25" s="23"/>
      <c r="C25" s="23">
        <v>32</v>
      </c>
      <c r="D25" s="24">
        <v>14926.0416</v>
      </c>
      <c r="E25" s="25">
        <v>35.597999999999999</v>
      </c>
      <c r="F25" s="25">
        <v>38.6126</v>
      </c>
      <c r="G25" s="25">
        <v>39.627400000000002</v>
      </c>
      <c r="H25" s="25"/>
      <c r="I25" s="25"/>
      <c r="J25" s="26"/>
      <c r="L25" s="24">
        <v>14924.928</v>
      </c>
      <c r="M25" s="25">
        <v>35.598300000000002</v>
      </c>
      <c r="N25" s="25">
        <v>38.5867</v>
      </c>
      <c r="O25" s="25">
        <v>39.608699999999999</v>
      </c>
      <c r="P25" s="25"/>
      <c r="Q25" s="25"/>
      <c r="R25" s="26"/>
      <c r="S25" s="19"/>
      <c r="T25" s="128"/>
      <c r="U25" s="44"/>
      <c r="V25" s="44"/>
      <c r="W25" s="29"/>
      <c r="X25" s="30"/>
      <c r="Y25" s="31"/>
      <c r="Z25" s="1">
        <f t="shared" si="1"/>
        <v>-7.4607858522958141E-5</v>
      </c>
    </row>
    <row r="26" spans="1:26" ht="12.75" thickBot="1" x14ac:dyDescent="0.25">
      <c r="A26" s="23"/>
      <c r="B26" s="32"/>
      <c r="C26" s="32">
        <v>37</v>
      </c>
      <c r="D26" s="33">
        <v>7329.2543999999998</v>
      </c>
      <c r="E26" s="34">
        <v>32.765999999999998</v>
      </c>
      <c r="F26" s="34">
        <v>37.3352</v>
      </c>
      <c r="G26" s="34">
        <v>38.781300000000002</v>
      </c>
      <c r="H26" s="34"/>
      <c r="I26" s="34"/>
      <c r="J26" s="35"/>
      <c r="L26" s="33">
        <v>7335.84</v>
      </c>
      <c r="M26" s="34">
        <v>32.763199999999998</v>
      </c>
      <c r="N26" s="34">
        <v>37.300699999999999</v>
      </c>
      <c r="O26" s="34">
        <v>38.760199999999998</v>
      </c>
      <c r="P26" s="34"/>
      <c r="Q26" s="34"/>
      <c r="R26" s="35"/>
      <c r="S26" s="19"/>
      <c r="T26" s="130"/>
      <c r="U26" s="131"/>
      <c r="V26" s="131"/>
      <c r="W26" s="38"/>
      <c r="X26" s="39"/>
      <c r="Y26" s="40"/>
      <c r="Z26" s="1">
        <f t="shared" si="1"/>
        <v>8.9853614577771251E-4</v>
      </c>
    </row>
    <row r="27" spans="1:26" x14ac:dyDescent="0.2">
      <c r="A27" s="23"/>
      <c r="B27" s="13" t="s">
        <v>11</v>
      </c>
      <c r="C27" s="13">
        <v>22</v>
      </c>
      <c r="D27" s="14">
        <v>104830.24</v>
      </c>
      <c r="E27" s="15">
        <v>40.564799999999998</v>
      </c>
      <c r="F27" s="15">
        <v>41.659100000000002</v>
      </c>
      <c r="G27" s="15">
        <v>44.147199999999998</v>
      </c>
      <c r="H27" s="15"/>
      <c r="I27" s="15"/>
      <c r="J27" s="16"/>
      <c r="L27" s="14">
        <v>104917.64</v>
      </c>
      <c r="M27" s="15">
        <v>40.567</v>
      </c>
      <c r="N27" s="15">
        <v>41.646099999999997</v>
      </c>
      <c r="O27" s="15">
        <v>44.128700000000002</v>
      </c>
      <c r="P27" s="15"/>
      <c r="Q27" s="15"/>
      <c r="R27" s="16"/>
      <c r="S27" s="19"/>
      <c r="T27" s="123">
        <f>bdrate($D27:$D30,E27:E30,$L27:$L30,M27:M30)</f>
        <v>2.2284369411715854E-3</v>
      </c>
      <c r="U27" s="124">
        <f>bdrate($D27:$D30,F27:F30,$L27:$L30,N27:N30)</f>
        <v>9.9759496718720975E-3</v>
      </c>
      <c r="V27" s="124">
        <f>bdrate($D27:$D30,G27:G30,$L27:$L30,O27:O30)</f>
        <v>1.3867050438482353E-2</v>
      </c>
      <c r="W27" s="41" t="e">
        <f ca="1">[1]!bdrateOld($D27:$D30,E27:E30,$L27:$L30,M27:M30)</f>
        <v>#NAME?</v>
      </c>
      <c r="X27" s="42" t="e">
        <f ca="1">[1]!bdrateOld($D27:$D30,F27:F30,$L27:$L30,N27:N30)</f>
        <v>#NAME?</v>
      </c>
      <c r="Y27" s="43" t="e">
        <f ca="1">[1]!bdrateOld($D27:$D30,G27:G30,$L27:$L30,O27:O30)</f>
        <v>#NAME?</v>
      </c>
      <c r="Z27" s="1">
        <f t="shared" si="1"/>
        <v>8.337288934947986E-4</v>
      </c>
    </row>
    <row r="28" spans="1:26" x14ac:dyDescent="0.2">
      <c r="A28" s="23"/>
      <c r="B28" s="23"/>
      <c r="C28" s="23">
        <v>27</v>
      </c>
      <c r="D28" s="24">
        <v>48513.16</v>
      </c>
      <c r="E28" s="25">
        <v>37.939</v>
      </c>
      <c r="F28" s="25">
        <v>39.423000000000002</v>
      </c>
      <c r="G28" s="25">
        <v>42.0351</v>
      </c>
      <c r="H28" s="25"/>
      <c r="I28" s="25"/>
      <c r="J28" s="26"/>
      <c r="L28" s="24">
        <v>48621.440000000002</v>
      </c>
      <c r="M28" s="25">
        <v>37.941699999999997</v>
      </c>
      <c r="N28" s="25">
        <v>39.4086</v>
      </c>
      <c r="O28" s="25">
        <v>42.008200000000002</v>
      </c>
      <c r="P28" s="25"/>
      <c r="Q28" s="25"/>
      <c r="R28" s="26"/>
      <c r="S28" s="19"/>
      <c r="T28" s="128"/>
      <c r="U28" s="44"/>
      <c r="V28" s="44"/>
      <c r="W28" s="29"/>
      <c r="X28" s="30"/>
      <c r="Y28" s="31"/>
      <c r="Z28" s="1">
        <f t="shared" si="1"/>
        <v>2.2319716959274313E-3</v>
      </c>
    </row>
    <row r="29" spans="1:26" x14ac:dyDescent="0.2">
      <c r="A29" s="23"/>
      <c r="B29" s="23"/>
      <c r="C29" s="23">
        <v>32</v>
      </c>
      <c r="D29" s="24">
        <v>26290.639999999999</v>
      </c>
      <c r="E29" s="25">
        <v>35.707700000000003</v>
      </c>
      <c r="F29" s="25">
        <v>38.324100000000001</v>
      </c>
      <c r="G29" s="25">
        <v>40.2988</v>
      </c>
      <c r="H29" s="25"/>
      <c r="I29" s="25"/>
      <c r="J29" s="26"/>
      <c r="L29" s="24">
        <v>26310.2</v>
      </c>
      <c r="M29" s="25">
        <v>35.700000000000003</v>
      </c>
      <c r="N29" s="25">
        <v>38.2986</v>
      </c>
      <c r="O29" s="25">
        <v>40.257100000000001</v>
      </c>
      <c r="P29" s="25"/>
      <c r="Q29" s="25"/>
      <c r="R29" s="26"/>
      <c r="S29" s="19"/>
      <c r="T29" s="128"/>
      <c r="U29" s="44"/>
      <c r="V29" s="44"/>
      <c r="W29" s="29"/>
      <c r="X29" s="30"/>
      <c r="Y29" s="31"/>
      <c r="Z29" s="1">
        <f t="shared" si="1"/>
        <v>7.4399101733549702E-4</v>
      </c>
    </row>
    <row r="30" spans="1:26" ht="12.75" thickBot="1" x14ac:dyDescent="0.25">
      <c r="A30" s="23"/>
      <c r="B30" s="32"/>
      <c r="C30" s="32">
        <v>37</v>
      </c>
      <c r="D30" s="33">
        <v>14228.36</v>
      </c>
      <c r="E30" s="34">
        <v>33.284100000000002</v>
      </c>
      <c r="F30" s="34">
        <v>37.467700000000001</v>
      </c>
      <c r="G30" s="34">
        <v>38.977899999999998</v>
      </c>
      <c r="H30" s="34"/>
      <c r="I30" s="34"/>
      <c r="J30" s="35"/>
      <c r="L30" s="33">
        <v>14270.16</v>
      </c>
      <c r="M30" s="34">
        <v>33.274500000000003</v>
      </c>
      <c r="N30" s="34">
        <v>37.451099999999997</v>
      </c>
      <c r="O30" s="34">
        <v>38.940899999999999</v>
      </c>
      <c r="P30" s="34"/>
      <c r="Q30" s="34"/>
      <c r="R30" s="35"/>
      <c r="S30" s="19"/>
      <c r="T30" s="130"/>
      <c r="U30" s="131"/>
      <c r="V30" s="131"/>
      <c r="W30" s="38"/>
      <c r="X30" s="39"/>
      <c r="Y30" s="40"/>
      <c r="Z30" s="1">
        <f t="shared" si="1"/>
        <v>2.9377946579928586E-3</v>
      </c>
    </row>
    <row r="31" spans="1:26" x14ac:dyDescent="0.2">
      <c r="A31" s="23"/>
      <c r="B31" s="13" t="s">
        <v>12</v>
      </c>
      <c r="C31" s="13">
        <v>22</v>
      </c>
      <c r="D31" s="14">
        <v>71125.240000000005</v>
      </c>
      <c r="E31" s="15">
        <v>41.246899999999997</v>
      </c>
      <c r="F31" s="15">
        <v>44.309600000000003</v>
      </c>
      <c r="G31" s="15">
        <v>45.897300000000001</v>
      </c>
      <c r="H31" s="15"/>
      <c r="I31" s="15"/>
      <c r="J31" s="16"/>
      <c r="L31" s="14">
        <v>71166.399999999994</v>
      </c>
      <c r="M31" s="15">
        <v>41.243600000000001</v>
      </c>
      <c r="N31" s="15">
        <v>44.296300000000002</v>
      </c>
      <c r="O31" s="15">
        <v>45.885899999999999</v>
      </c>
      <c r="P31" s="15"/>
      <c r="Q31" s="15"/>
      <c r="R31" s="16"/>
      <c r="S31" s="19"/>
      <c r="T31" s="123">
        <f>bdrate($D31:$D34,E31:E34,$L31:$L34,M31:M34)</f>
        <v>3.650828005155704E-3</v>
      </c>
      <c r="U31" s="124">
        <f>bdrate($D31:$D34,F31:F34,$L31:$L34,N31:N34)</f>
        <v>1.3020214101771455E-2</v>
      </c>
      <c r="V31" s="124">
        <f>bdrate($D31:$D34,G31:G34,$L31:$L34,O31:O34)</f>
        <v>1.1287665797679924E-2</v>
      </c>
      <c r="W31" s="41" t="e">
        <f ca="1">[1]!bdrateOld($D31:$D34,E31:E34,$L31:$L34,M31:M34)</f>
        <v>#NAME?</v>
      </c>
      <c r="X31" s="42" t="e">
        <f ca="1">[1]!bdrateOld($D31:$D34,F31:F34,$L31:$L34,N31:N34)</f>
        <v>#NAME?</v>
      </c>
      <c r="Y31" s="43" t="e">
        <f ca="1">[1]!bdrateOld($D31:$D34,G31:G34,$L31:$L34,O31:O34)</f>
        <v>#NAME?</v>
      </c>
      <c r="Z31" s="1">
        <f t="shared" si="1"/>
        <v>5.7869752003633223E-4</v>
      </c>
    </row>
    <row r="32" spans="1:26" x14ac:dyDescent="0.2">
      <c r="A32" s="23"/>
      <c r="B32" s="23"/>
      <c r="C32" s="23">
        <v>27</v>
      </c>
      <c r="D32" s="24">
        <v>29302.400000000001</v>
      </c>
      <c r="E32" s="25">
        <v>38.7136</v>
      </c>
      <c r="F32" s="25">
        <v>42.803800000000003</v>
      </c>
      <c r="G32" s="25">
        <v>43.726700000000001</v>
      </c>
      <c r="H32" s="25"/>
      <c r="I32" s="25"/>
      <c r="J32" s="26"/>
      <c r="L32" s="24">
        <v>29390.400000000001</v>
      </c>
      <c r="M32" s="25">
        <v>38.713900000000002</v>
      </c>
      <c r="N32" s="25">
        <v>42.7864</v>
      </c>
      <c r="O32" s="25">
        <v>43.717199999999998</v>
      </c>
      <c r="P32" s="25"/>
      <c r="Q32" s="25"/>
      <c r="R32" s="26"/>
      <c r="S32" s="19"/>
      <c r="T32" s="128"/>
      <c r="U32" s="44"/>
      <c r="V32" s="44"/>
      <c r="W32" s="29"/>
      <c r="X32" s="30"/>
      <c r="Y32" s="31"/>
      <c r="Z32" s="1">
        <f t="shared" si="1"/>
        <v>3.0031669760838702E-3</v>
      </c>
    </row>
    <row r="33" spans="1:26" x14ac:dyDescent="0.2">
      <c r="A33" s="23"/>
      <c r="B33" s="23"/>
      <c r="C33" s="23">
        <v>32</v>
      </c>
      <c r="D33" s="24">
        <v>15406</v>
      </c>
      <c r="E33" s="25">
        <v>36.961500000000001</v>
      </c>
      <c r="F33" s="25">
        <v>41.380699999999997</v>
      </c>
      <c r="G33" s="25">
        <v>41.8157</v>
      </c>
      <c r="H33" s="25"/>
      <c r="I33" s="25"/>
      <c r="J33" s="26"/>
      <c r="L33" s="24">
        <v>15463.24</v>
      </c>
      <c r="M33" s="25">
        <v>36.957799999999999</v>
      </c>
      <c r="N33" s="25">
        <v>41.3626</v>
      </c>
      <c r="O33" s="25">
        <v>41.7791</v>
      </c>
      <c r="P33" s="25"/>
      <c r="Q33" s="25"/>
      <c r="R33" s="26"/>
      <c r="S33" s="19"/>
      <c r="T33" s="128"/>
      <c r="U33" s="44"/>
      <c r="V33" s="44"/>
      <c r="W33" s="29"/>
      <c r="X33" s="30"/>
      <c r="Y33" s="31"/>
      <c r="Z33" s="1">
        <f t="shared" si="1"/>
        <v>3.7154355445930013E-3</v>
      </c>
    </row>
    <row r="34" spans="1:26" ht="12.75" thickBot="1" x14ac:dyDescent="0.25">
      <c r="A34" s="23"/>
      <c r="B34" s="32"/>
      <c r="C34" s="32">
        <v>37</v>
      </c>
      <c r="D34" s="33">
        <v>8617.68</v>
      </c>
      <c r="E34" s="34">
        <v>34.984900000000003</v>
      </c>
      <c r="F34" s="34">
        <v>40.268599999999999</v>
      </c>
      <c r="G34" s="34">
        <v>40.335500000000003</v>
      </c>
      <c r="H34" s="34"/>
      <c r="I34" s="34"/>
      <c r="J34" s="35"/>
      <c r="L34" s="33">
        <v>8641.36</v>
      </c>
      <c r="M34" s="34">
        <v>34.974600000000002</v>
      </c>
      <c r="N34" s="34">
        <v>40.226599999999998</v>
      </c>
      <c r="O34" s="34">
        <v>40.285499999999999</v>
      </c>
      <c r="P34" s="34"/>
      <c r="Q34" s="34"/>
      <c r="R34" s="35"/>
      <c r="S34" s="19"/>
      <c r="T34" s="130"/>
      <c r="U34" s="131"/>
      <c r="V34" s="131"/>
      <c r="W34" s="38"/>
      <c r="X34" s="39"/>
      <c r="Y34" s="40"/>
      <c r="Z34" s="1">
        <f t="shared" si="1"/>
        <v>2.7478393256654102E-3</v>
      </c>
    </row>
    <row r="35" spans="1:26" x14ac:dyDescent="0.2">
      <c r="A35" s="23"/>
      <c r="B35" s="13" t="s">
        <v>13</v>
      </c>
      <c r="C35" s="13">
        <v>22</v>
      </c>
      <c r="D35" s="14">
        <v>181192.03200000001</v>
      </c>
      <c r="E35" s="15">
        <v>42.364600000000003</v>
      </c>
      <c r="F35" s="15">
        <v>42.636899999999997</v>
      </c>
      <c r="G35" s="15">
        <v>44.393599999999999</v>
      </c>
      <c r="H35" s="15"/>
      <c r="I35" s="15"/>
      <c r="J35" s="16"/>
      <c r="L35" s="14">
        <v>181337.66399999999</v>
      </c>
      <c r="M35" s="15">
        <v>42.364800000000002</v>
      </c>
      <c r="N35" s="15">
        <v>42.6235</v>
      </c>
      <c r="O35" s="15">
        <v>44.361400000000003</v>
      </c>
      <c r="P35" s="15"/>
      <c r="Q35" s="15"/>
      <c r="R35" s="16"/>
      <c r="S35" s="19"/>
      <c r="T35" s="123">
        <f>bdrate($D35:$D38,E35:E38,$L35:$L38,M35:M38)</f>
        <v>2.8462478777100397E-3</v>
      </c>
      <c r="U35" s="124">
        <f>bdrate($D35:$D38,F35:F38,$L35:$L38,N35:N38)</f>
        <v>1.3152583238581927E-2</v>
      </c>
      <c r="V35" s="124">
        <f>bdrate($D35:$D38,G35:G38,$L35:$L38,O35:O38)</f>
        <v>2.0661042286439057E-2</v>
      </c>
      <c r="W35" s="41" t="e">
        <f ca="1">[1]!bdrateOld($D35:$D38,E35:E38,$L35:$L38,M35:M38)</f>
        <v>#NAME?</v>
      </c>
      <c r="X35" s="42" t="e">
        <f ca="1">[1]!bdrateOld($D35:$D38,F35:F38,$L35:$L38,N35:N38)</f>
        <v>#NAME?</v>
      </c>
      <c r="Y35" s="43" t="e">
        <f ca="1">[1]!bdrateOld($D35:$D38,G35:G38,$L35:$L38,O35:O38)</f>
        <v>#NAME?</v>
      </c>
      <c r="Z35" s="1">
        <f t="shared" si="1"/>
        <v>8.037439527141195E-4</v>
      </c>
    </row>
    <row r="36" spans="1:26" x14ac:dyDescent="0.2">
      <c r="A36" s="23"/>
      <c r="B36" s="23"/>
      <c r="C36" s="23">
        <v>27</v>
      </c>
      <c r="D36" s="24">
        <v>79322.111999999994</v>
      </c>
      <c r="E36" s="25">
        <v>37.036900000000003</v>
      </c>
      <c r="F36" s="25">
        <v>40.732399999999998</v>
      </c>
      <c r="G36" s="25">
        <v>42.928800000000003</v>
      </c>
      <c r="H36" s="25"/>
      <c r="I36" s="25"/>
      <c r="J36" s="26"/>
      <c r="L36" s="24">
        <v>79571.567999999999</v>
      </c>
      <c r="M36" s="25">
        <v>37.0398</v>
      </c>
      <c r="N36" s="25">
        <v>40.714500000000001</v>
      </c>
      <c r="O36" s="25">
        <v>42.887599999999999</v>
      </c>
      <c r="P36" s="25"/>
      <c r="Q36" s="25"/>
      <c r="R36" s="26"/>
      <c r="S36" s="19"/>
      <c r="T36" s="128"/>
      <c r="U36" s="44"/>
      <c r="V36" s="44"/>
      <c r="W36" s="29"/>
      <c r="X36" s="30"/>
      <c r="Y36" s="31"/>
      <c r="Z36" s="1">
        <f t="shared" si="1"/>
        <v>3.1448481855854468E-3</v>
      </c>
    </row>
    <row r="37" spans="1:26" x14ac:dyDescent="0.2">
      <c r="A37" s="23"/>
      <c r="B37" s="23"/>
      <c r="C37" s="23">
        <v>32</v>
      </c>
      <c r="D37" s="24">
        <v>40186.368000000002</v>
      </c>
      <c r="E37" s="25">
        <v>34.447699999999998</v>
      </c>
      <c r="F37" s="25">
        <v>39.257599999999996</v>
      </c>
      <c r="G37" s="25">
        <v>41.674199999999999</v>
      </c>
      <c r="H37" s="25"/>
      <c r="I37" s="25"/>
      <c r="J37" s="26"/>
      <c r="L37" s="24">
        <v>40401.792000000001</v>
      </c>
      <c r="M37" s="25">
        <v>34.450600000000001</v>
      </c>
      <c r="N37" s="25">
        <v>39.2301</v>
      </c>
      <c r="O37" s="25">
        <v>41.651800000000001</v>
      </c>
      <c r="P37" s="25"/>
      <c r="Q37" s="25"/>
      <c r="R37" s="26"/>
      <c r="S37" s="19"/>
      <c r="T37" s="128"/>
      <c r="U37" s="44"/>
      <c r="V37" s="44"/>
      <c r="W37" s="29"/>
      <c r="X37" s="30"/>
      <c r="Y37" s="31"/>
      <c r="Z37" s="1">
        <f t="shared" si="1"/>
        <v>5.3606237816763895E-3</v>
      </c>
    </row>
    <row r="38" spans="1:26" ht="12.75" thickBot="1" x14ac:dyDescent="0.25">
      <c r="A38" s="32"/>
      <c r="B38" s="32"/>
      <c r="C38" s="32">
        <v>37</v>
      </c>
      <c r="D38" s="33">
        <v>21714.432000000001</v>
      </c>
      <c r="E38" s="34">
        <v>32.014499999999998</v>
      </c>
      <c r="F38" s="34">
        <v>38.237299999999998</v>
      </c>
      <c r="G38" s="34">
        <v>40.729199999999999</v>
      </c>
      <c r="H38" s="34"/>
      <c r="I38" s="34"/>
      <c r="J38" s="35"/>
      <c r="L38" s="33">
        <v>21813.936000000002</v>
      </c>
      <c r="M38" s="34">
        <v>32.009799999999998</v>
      </c>
      <c r="N38" s="34">
        <v>38.222299999999997</v>
      </c>
      <c r="O38" s="34">
        <v>40.7318</v>
      </c>
      <c r="P38" s="34"/>
      <c r="Q38" s="34"/>
      <c r="R38" s="35"/>
      <c r="S38" s="19"/>
      <c r="T38" s="130"/>
      <c r="U38" s="131"/>
      <c r="V38" s="131"/>
      <c r="W38" s="38"/>
      <c r="X38" s="39"/>
      <c r="Y38" s="40"/>
      <c r="Z38" s="1">
        <f t="shared" si="1"/>
        <v>4.5823901817924973E-3</v>
      </c>
    </row>
    <row r="39" spans="1:26" x14ac:dyDescent="0.2">
      <c r="A39" s="13" t="s">
        <v>14</v>
      </c>
      <c r="B39" s="13" t="s">
        <v>15</v>
      </c>
      <c r="C39" s="13">
        <v>22</v>
      </c>
      <c r="D39" s="14">
        <v>20508.240000000002</v>
      </c>
      <c r="E39" s="15">
        <v>41.768900000000002</v>
      </c>
      <c r="F39" s="15">
        <v>43.831699999999998</v>
      </c>
      <c r="G39" s="15">
        <v>44.472200000000001</v>
      </c>
      <c r="H39" s="15"/>
      <c r="I39" s="15"/>
      <c r="J39" s="16"/>
      <c r="L39" s="14"/>
      <c r="M39" s="15"/>
      <c r="N39" s="15"/>
      <c r="O39" s="15"/>
      <c r="P39" s="15"/>
      <c r="Q39" s="15"/>
      <c r="R39" s="16"/>
      <c r="S39" s="19"/>
      <c r="T39" s="123" t="e">
        <f>bdrate($D39:$D42,E39:E42,$L39:$L42,M39:M42)</f>
        <v>#VALUE!</v>
      </c>
      <c r="U39" s="124" t="e">
        <f>bdrate($D39:$D42,F39:F42,$L39:$L42,N39:N42)</f>
        <v>#VALUE!</v>
      </c>
      <c r="V39" s="124" t="e">
        <f>bdrate($D39:$D42,G39:G42,$L39:$L42,O39:O42)</f>
        <v>#VALUE!</v>
      </c>
      <c r="W39" s="117" t="e">
        <f ca="1">[1]!bdrateOld($D39:$D42,E39:E42,$L39:$L42,M39:M42)</f>
        <v>#NAME?</v>
      </c>
      <c r="X39" s="118" t="e">
        <f ca="1">[1]!bdrateOld($D39:$D42,F39:F42,$L39:$L42,N39:N42)</f>
        <v>#NAME?</v>
      </c>
      <c r="Y39" s="119" t="e">
        <f ca="1">[1]!bdrateOld($D39:$D42,G39:G42,$L39:$L42,O39:O42)</f>
        <v>#NAME?</v>
      </c>
      <c r="Z39" s="1">
        <f t="shared" si="1"/>
        <v>-1</v>
      </c>
    </row>
    <row r="40" spans="1:26" x14ac:dyDescent="0.2">
      <c r="A40" s="23" t="s">
        <v>16</v>
      </c>
      <c r="B40" s="23"/>
      <c r="C40" s="23">
        <v>27</v>
      </c>
      <c r="D40" s="24">
        <v>11118.96</v>
      </c>
      <c r="E40" s="25">
        <v>38.389200000000002</v>
      </c>
      <c r="F40" s="25">
        <v>41.105400000000003</v>
      </c>
      <c r="G40" s="25">
        <v>41.330599999999997</v>
      </c>
      <c r="H40" s="25"/>
      <c r="I40" s="25"/>
      <c r="J40" s="26"/>
      <c r="L40" s="24"/>
      <c r="M40" s="25"/>
      <c r="N40" s="25"/>
      <c r="O40" s="25"/>
      <c r="P40" s="25"/>
      <c r="Q40" s="25"/>
      <c r="R40" s="26"/>
      <c r="S40" s="19"/>
      <c r="T40" s="128"/>
      <c r="U40" s="44"/>
      <c r="V40" s="44"/>
      <c r="W40" s="113"/>
      <c r="X40" s="114"/>
      <c r="Y40" s="120"/>
      <c r="Z40" s="1">
        <f t="shared" si="1"/>
        <v>-1</v>
      </c>
    </row>
    <row r="41" spans="1:26" x14ac:dyDescent="0.2">
      <c r="A41" s="23"/>
      <c r="B41" s="23"/>
      <c r="C41" s="23">
        <v>32</v>
      </c>
      <c r="D41" s="24">
        <v>5940.52</v>
      </c>
      <c r="E41" s="25">
        <v>35.444600000000001</v>
      </c>
      <c r="F41" s="25">
        <v>38.899900000000002</v>
      </c>
      <c r="G41" s="25">
        <v>38.9495</v>
      </c>
      <c r="H41" s="25"/>
      <c r="I41" s="25"/>
      <c r="J41" s="26"/>
      <c r="L41" s="24"/>
      <c r="M41" s="25"/>
      <c r="N41" s="25"/>
      <c r="O41" s="25"/>
      <c r="P41" s="25"/>
      <c r="Q41" s="25"/>
      <c r="R41" s="26"/>
      <c r="S41" s="19"/>
      <c r="T41" s="128"/>
      <c r="U41" s="44"/>
      <c r="V41" s="44"/>
      <c r="W41" s="113"/>
      <c r="X41" s="114"/>
      <c r="Y41" s="120"/>
      <c r="Z41" s="1">
        <f t="shared" si="1"/>
        <v>-1</v>
      </c>
    </row>
    <row r="42" spans="1:26" ht="12.75" thickBot="1" x14ac:dyDescent="0.25">
      <c r="A42" s="23"/>
      <c r="B42" s="32"/>
      <c r="C42" s="32">
        <v>37</v>
      </c>
      <c r="D42" s="33">
        <v>3254.72</v>
      </c>
      <c r="E42" s="34">
        <v>32.816200000000002</v>
      </c>
      <c r="F42" s="34">
        <v>37.300800000000002</v>
      </c>
      <c r="G42" s="34">
        <v>37.142000000000003</v>
      </c>
      <c r="H42" s="34"/>
      <c r="I42" s="34"/>
      <c r="J42" s="35"/>
      <c r="L42" s="33"/>
      <c r="M42" s="34"/>
      <c r="N42" s="34"/>
      <c r="O42" s="34"/>
      <c r="P42" s="34"/>
      <c r="Q42" s="34"/>
      <c r="R42" s="35"/>
      <c r="S42" s="19"/>
      <c r="T42" s="130"/>
      <c r="U42" s="131"/>
      <c r="V42" s="131"/>
      <c r="W42" s="115"/>
      <c r="X42" s="116"/>
      <c r="Y42" s="121"/>
      <c r="Z42" s="1">
        <f t="shared" si="1"/>
        <v>-1</v>
      </c>
    </row>
    <row r="43" spans="1:26" x14ac:dyDescent="0.2">
      <c r="A43" s="23"/>
      <c r="B43" s="13" t="s">
        <v>17</v>
      </c>
      <c r="C43" s="13">
        <v>22</v>
      </c>
      <c r="D43" s="14">
        <v>23516.592000000001</v>
      </c>
      <c r="E43" s="15">
        <v>41.917900000000003</v>
      </c>
      <c r="F43" s="15">
        <v>43.995800000000003</v>
      </c>
      <c r="G43" s="15">
        <v>45.410200000000003</v>
      </c>
      <c r="H43" s="15"/>
      <c r="I43" s="15"/>
      <c r="J43" s="16"/>
      <c r="L43" s="14"/>
      <c r="M43" s="15"/>
      <c r="N43" s="15"/>
      <c r="O43" s="15"/>
      <c r="P43" s="15"/>
      <c r="Q43" s="15"/>
      <c r="R43" s="16"/>
      <c r="S43" s="19"/>
      <c r="T43" s="123" t="e">
        <f>bdrate($D43:$D46,E43:E46,$L43:$L46,M43:M46)</f>
        <v>#VALUE!</v>
      </c>
      <c r="U43" s="124" t="e">
        <f>bdrate($D43:$D46,F43:F46,$L43:$L46,N43:N46)</f>
        <v>#VALUE!</v>
      </c>
      <c r="V43" s="124" t="e">
        <f>bdrate($D43:$D46,G43:G46,$L43:$L46,O43:O46)</f>
        <v>#VALUE!</v>
      </c>
      <c r="W43" s="117" t="e">
        <f ca="1">[1]!bdrateOld($D43:$D46,E43:E46,$L43:$L46,M43:M46)</f>
        <v>#NAME?</v>
      </c>
      <c r="X43" s="118" t="e">
        <f ca="1">[1]!bdrateOld($D43:$D46,F43:F46,$L43:$L46,N43:N46)</f>
        <v>#NAME?</v>
      </c>
      <c r="Y43" s="119" t="e">
        <f ca="1">[1]!bdrateOld($D43:$D46,G43:G46,$L43:$L46,O43:O46)</f>
        <v>#NAME?</v>
      </c>
      <c r="Z43" s="1">
        <f t="shared" si="1"/>
        <v>-1</v>
      </c>
    </row>
    <row r="44" spans="1:26" x14ac:dyDescent="0.2">
      <c r="A44" s="23"/>
      <c r="B44" s="23"/>
      <c r="C44" s="23">
        <v>27</v>
      </c>
      <c r="D44" s="24">
        <v>14114.352000000001</v>
      </c>
      <c r="E44" s="25">
        <v>39.021000000000001</v>
      </c>
      <c r="F44" s="25">
        <v>41.582900000000002</v>
      </c>
      <c r="G44" s="25">
        <v>42.727200000000003</v>
      </c>
      <c r="H44" s="25"/>
      <c r="I44" s="25"/>
      <c r="J44" s="26"/>
      <c r="L44" s="24"/>
      <c r="M44" s="25"/>
      <c r="N44" s="25"/>
      <c r="O44" s="25"/>
      <c r="P44" s="25"/>
      <c r="Q44" s="25"/>
      <c r="R44" s="26"/>
      <c r="S44" s="19"/>
      <c r="T44" s="128"/>
      <c r="U44" s="44"/>
      <c r="V44" s="44"/>
      <c r="W44" s="113"/>
      <c r="X44" s="114"/>
      <c r="Y44" s="120"/>
      <c r="Z44" s="1">
        <f t="shared" si="1"/>
        <v>-1</v>
      </c>
    </row>
    <row r="45" spans="1:26" x14ac:dyDescent="0.2">
      <c r="A45" s="23"/>
      <c r="B45" s="23"/>
      <c r="C45" s="23">
        <v>32</v>
      </c>
      <c r="D45" s="24">
        <v>8323.3439999999991</v>
      </c>
      <c r="E45" s="25">
        <v>35.953099999999999</v>
      </c>
      <c r="F45" s="25">
        <v>39.592700000000001</v>
      </c>
      <c r="G45" s="25">
        <v>40.627699999999997</v>
      </c>
      <c r="H45" s="25"/>
      <c r="I45" s="25"/>
      <c r="J45" s="26"/>
      <c r="L45" s="24"/>
      <c r="M45" s="25"/>
      <c r="N45" s="25"/>
      <c r="O45" s="25"/>
      <c r="P45" s="25"/>
      <c r="Q45" s="25"/>
      <c r="R45" s="26"/>
      <c r="S45" s="19"/>
      <c r="T45" s="128"/>
      <c r="U45" s="44"/>
      <c r="V45" s="44"/>
      <c r="W45" s="113"/>
      <c r="X45" s="114"/>
      <c r="Y45" s="120"/>
      <c r="Z45" s="1">
        <f t="shared" si="1"/>
        <v>-1</v>
      </c>
    </row>
    <row r="46" spans="1:26" ht="12.75" thickBot="1" x14ac:dyDescent="0.25">
      <c r="A46" s="23"/>
      <c r="B46" s="32"/>
      <c r="C46" s="32">
        <v>37</v>
      </c>
      <c r="D46" s="33">
        <v>4775.9520000000002</v>
      </c>
      <c r="E46" s="34">
        <v>32.860900000000001</v>
      </c>
      <c r="F46" s="34">
        <v>38.154400000000003</v>
      </c>
      <c r="G46" s="34">
        <v>39.095500000000001</v>
      </c>
      <c r="H46" s="34"/>
      <c r="I46" s="34"/>
      <c r="J46" s="35"/>
      <c r="L46" s="33"/>
      <c r="M46" s="34"/>
      <c r="N46" s="34"/>
      <c r="O46" s="34"/>
      <c r="P46" s="34"/>
      <c r="Q46" s="34"/>
      <c r="R46" s="35"/>
      <c r="S46" s="19"/>
      <c r="T46" s="130"/>
      <c r="U46" s="131"/>
      <c r="V46" s="131"/>
      <c r="W46" s="115"/>
      <c r="X46" s="116"/>
      <c r="Y46" s="121"/>
      <c r="Z46" s="1">
        <f t="shared" si="1"/>
        <v>-1</v>
      </c>
    </row>
    <row r="47" spans="1:26" x14ac:dyDescent="0.2">
      <c r="A47" s="23"/>
      <c r="B47" s="13" t="s">
        <v>18</v>
      </c>
      <c r="C47" s="13">
        <v>22</v>
      </c>
      <c r="D47" s="14">
        <v>43304.92</v>
      </c>
      <c r="E47" s="15">
        <v>41.073300000000003</v>
      </c>
      <c r="F47" s="15">
        <v>42.491399999999999</v>
      </c>
      <c r="G47" s="15">
        <v>43.379300000000001</v>
      </c>
      <c r="H47" s="15"/>
      <c r="I47" s="15"/>
      <c r="J47" s="16"/>
      <c r="L47" s="14"/>
      <c r="M47" s="15"/>
      <c r="N47" s="15"/>
      <c r="O47" s="15"/>
      <c r="P47" s="15"/>
      <c r="Q47" s="15"/>
      <c r="R47" s="16"/>
      <c r="S47" s="19"/>
      <c r="T47" s="123" t="e">
        <f>bdrate($D47:$D50,E47:E50,$L47:$L50,M47:M50)</f>
        <v>#VALUE!</v>
      </c>
      <c r="U47" s="124" t="e">
        <f>bdrate($D47:$D50,F47:F50,$L47:$L50,N47:N50)</f>
        <v>#VALUE!</v>
      </c>
      <c r="V47" s="124" t="e">
        <f>bdrate($D47:$D50,G47:G50,$L47:$L50,O47:O50)</f>
        <v>#VALUE!</v>
      </c>
      <c r="W47" s="117" t="e">
        <f ca="1">[1]!bdrateOld($D47:$D50,E47:E50,$L47:$L50,M47:M50)</f>
        <v>#NAME?</v>
      </c>
      <c r="X47" s="118" t="e">
        <f ca="1">[1]!bdrateOld($D47:$D50,F47:F50,$L47:$L50,N47:N50)</f>
        <v>#NAME?</v>
      </c>
      <c r="Y47" s="119" t="e">
        <f ca="1">[1]!bdrateOld($D47:$D50,G47:G50,$L47:$L50,O47:O50)</f>
        <v>#NAME?</v>
      </c>
      <c r="Z47" s="1">
        <f t="shared" si="1"/>
        <v>-1</v>
      </c>
    </row>
    <row r="48" spans="1:26" x14ac:dyDescent="0.2">
      <c r="A48" s="23"/>
      <c r="B48" s="23"/>
      <c r="C48" s="23">
        <v>27</v>
      </c>
      <c r="D48" s="24">
        <v>26763.4</v>
      </c>
      <c r="E48" s="25">
        <v>36.879600000000003</v>
      </c>
      <c r="F48" s="25">
        <v>39.302399999999999</v>
      </c>
      <c r="G48" s="25">
        <v>40.109699999999997</v>
      </c>
      <c r="H48" s="25"/>
      <c r="I48" s="25"/>
      <c r="J48" s="26"/>
      <c r="L48" s="24"/>
      <c r="M48" s="25"/>
      <c r="N48" s="25"/>
      <c r="O48" s="25"/>
      <c r="P48" s="25"/>
      <c r="Q48" s="25"/>
      <c r="R48" s="26"/>
      <c r="S48" s="19"/>
      <c r="T48" s="128"/>
      <c r="U48" s="44"/>
      <c r="V48" s="44"/>
      <c r="W48" s="113"/>
      <c r="X48" s="114"/>
      <c r="Y48" s="120"/>
      <c r="Z48" s="1">
        <f t="shared" si="1"/>
        <v>-1</v>
      </c>
    </row>
    <row r="49" spans="1:26" x14ac:dyDescent="0.2">
      <c r="A49" s="23"/>
      <c r="B49" s="23"/>
      <c r="C49" s="23">
        <v>32</v>
      </c>
      <c r="D49" s="24">
        <v>15896.88</v>
      </c>
      <c r="E49" s="25">
        <v>33.098300000000002</v>
      </c>
      <c r="F49" s="25">
        <v>37.102400000000003</v>
      </c>
      <c r="G49" s="25">
        <v>37.796100000000003</v>
      </c>
      <c r="H49" s="25"/>
      <c r="I49" s="25"/>
      <c r="J49" s="26"/>
      <c r="L49" s="24"/>
      <c r="M49" s="25"/>
      <c r="N49" s="25"/>
      <c r="O49" s="25"/>
      <c r="P49" s="25"/>
      <c r="Q49" s="25"/>
      <c r="R49" s="26"/>
      <c r="S49" s="19"/>
      <c r="T49" s="128"/>
      <c r="U49" s="44"/>
      <c r="V49" s="44"/>
      <c r="W49" s="113"/>
      <c r="X49" s="114"/>
      <c r="Y49" s="120"/>
      <c r="Z49" s="1">
        <f t="shared" si="1"/>
        <v>-1</v>
      </c>
    </row>
    <row r="50" spans="1:26" ht="12.75" thickBot="1" x14ac:dyDescent="0.25">
      <c r="A50" s="23"/>
      <c r="B50" s="32"/>
      <c r="C50" s="32">
        <v>37</v>
      </c>
      <c r="D50" s="33">
        <v>8610.4</v>
      </c>
      <c r="E50" s="34">
        <v>29.437999999999999</v>
      </c>
      <c r="F50" s="34">
        <v>35.585799999999999</v>
      </c>
      <c r="G50" s="34">
        <v>36.274500000000003</v>
      </c>
      <c r="H50" s="34"/>
      <c r="I50" s="34"/>
      <c r="J50" s="35"/>
      <c r="L50" s="33"/>
      <c r="M50" s="34"/>
      <c r="N50" s="34"/>
      <c r="O50" s="34"/>
      <c r="P50" s="34"/>
      <c r="Q50" s="34"/>
      <c r="R50" s="35"/>
      <c r="S50" s="19"/>
      <c r="T50" s="130"/>
      <c r="U50" s="131"/>
      <c r="V50" s="131"/>
      <c r="W50" s="115"/>
      <c r="X50" s="116"/>
      <c r="Y50" s="121"/>
      <c r="Z50" s="1">
        <f t="shared" si="1"/>
        <v>-1</v>
      </c>
    </row>
    <row r="51" spans="1:26" x14ac:dyDescent="0.2">
      <c r="A51" s="23"/>
      <c r="B51" s="13" t="s">
        <v>19</v>
      </c>
      <c r="C51" s="13">
        <v>22</v>
      </c>
      <c r="D51" s="14">
        <v>14619.6</v>
      </c>
      <c r="E51" s="15">
        <v>42.337000000000003</v>
      </c>
      <c r="F51" s="15">
        <v>43.54</v>
      </c>
      <c r="G51" s="15">
        <v>44.409300000000002</v>
      </c>
      <c r="H51" s="15"/>
      <c r="I51" s="15"/>
      <c r="J51" s="16"/>
      <c r="L51" s="14"/>
      <c r="M51" s="15"/>
      <c r="N51" s="15"/>
      <c r="O51" s="15"/>
      <c r="P51" s="15"/>
      <c r="Q51" s="15"/>
      <c r="R51" s="16"/>
      <c r="S51" s="19"/>
      <c r="T51" s="123" t="e">
        <f>bdrate($D51:$D54,E51:E54,$L51:$L54,M51:M54)</f>
        <v>#VALUE!</v>
      </c>
      <c r="U51" s="124" t="e">
        <f>bdrate($D51:$D54,F51:F54,$L51:$L54,N51:N54)</f>
        <v>#VALUE!</v>
      </c>
      <c r="V51" s="124" t="e">
        <f>bdrate($D51:$D54,G51:G54,$L51:$L54,O51:O54)</f>
        <v>#VALUE!</v>
      </c>
      <c r="W51" s="117" t="e">
        <f ca="1">[1]!bdrateOld($D51:$D54,E51:E54,$L51:$L54,M51:M54)</f>
        <v>#NAME?</v>
      </c>
      <c r="X51" s="118" t="e">
        <f ca="1">[1]!bdrateOld($D51:$D54,F51:F54,$L51:$L54,N51:N54)</f>
        <v>#NAME?</v>
      </c>
      <c r="Y51" s="119" t="e">
        <f ca="1">[1]!bdrateOld($D51:$D54,G51:G54,$L51:$L54,O51:O54)</f>
        <v>#NAME?</v>
      </c>
      <c r="Z51" s="1">
        <f t="shared" si="1"/>
        <v>-1</v>
      </c>
    </row>
    <row r="52" spans="1:26" x14ac:dyDescent="0.2">
      <c r="A52" s="23"/>
      <c r="B52" s="23"/>
      <c r="C52" s="23">
        <v>27</v>
      </c>
      <c r="D52" s="24">
        <v>8803.6080000000002</v>
      </c>
      <c r="E52" s="25">
        <v>39.039200000000001</v>
      </c>
      <c r="F52" s="25">
        <v>40.247100000000003</v>
      </c>
      <c r="G52" s="25">
        <v>41.690600000000003</v>
      </c>
      <c r="H52" s="25"/>
      <c r="I52" s="25"/>
      <c r="J52" s="26"/>
      <c r="L52" s="24"/>
      <c r="M52" s="25"/>
      <c r="N52" s="25"/>
      <c r="O52" s="25"/>
      <c r="P52" s="25"/>
      <c r="Q52" s="25"/>
      <c r="R52" s="26"/>
      <c r="S52" s="19"/>
      <c r="T52" s="128"/>
      <c r="U52" s="44"/>
      <c r="V52" s="44"/>
      <c r="W52" s="113"/>
      <c r="X52" s="114"/>
      <c r="Y52" s="120"/>
      <c r="Z52" s="1">
        <f t="shared" si="1"/>
        <v>-1</v>
      </c>
    </row>
    <row r="53" spans="1:26" x14ac:dyDescent="0.2">
      <c r="A53" s="23"/>
      <c r="B53" s="23"/>
      <c r="C53" s="23">
        <v>32</v>
      </c>
      <c r="D53" s="24">
        <v>5038.8720000000003</v>
      </c>
      <c r="E53" s="25">
        <v>35.685400000000001</v>
      </c>
      <c r="F53" s="25">
        <v>37.888199999999998</v>
      </c>
      <c r="G53" s="25">
        <v>39.717399999999998</v>
      </c>
      <c r="H53" s="25"/>
      <c r="I53" s="25"/>
      <c r="J53" s="26"/>
      <c r="L53" s="24"/>
      <c r="M53" s="25"/>
      <c r="N53" s="25"/>
      <c r="O53" s="25"/>
      <c r="P53" s="25"/>
      <c r="Q53" s="25"/>
      <c r="R53" s="26"/>
      <c r="S53" s="19"/>
      <c r="T53" s="128"/>
      <c r="U53" s="44"/>
      <c r="V53" s="44"/>
      <c r="W53" s="113"/>
      <c r="X53" s="114"/>
      <c r="Y53" s="120"/>
      <c r="Z53" s="1">
        <f t="shared" si="1"/>
        <v>-1</v>
      </c>
    </row>
    <row r="54" spans="1:26" ht="12.75" thickBot="1" x14ac:dyDescent="0.25">
      <c r="A54" s="32"/>
      <c r="B54" s="32"/>
      <c r="C54" s="32">
        <v>37</v>
      </c>
      <c r="D54" s="33">
        <v>2572.2959999999998</v>
      </c>
      <c r="E54" s="34">
        <v>32.340499999999999</v>
      </c>
      <c r="F54" s="34">
        <v>36.375599999999999</v>
      </c>
      <c r="G54" s="34">
        <v>38.227899999999998</v>
      </c>
      <c r="H54" s="34"/>
      <c r="I54" s="34"/>
      <c r="J54" s="35"/>
      <c r="L54" s="33"/>
      <c r="M54" s="34"/>
      <c r="N54" s="34"/>
      <c r="O54" s="34"/>
      <c r="P54" s="34"/>
      <c r="Q54" s="34"/>
      <c r="R54" s="35"/>
      <c r="S54" s="19"/>
      <c r="T54" s="130"/>
      <c r="U54" s="131"/>
      <c r="V54" s="131"/>
      <c r="W54" s="115"/>
      <c r="X54" s="116"/>
      <c r="Y54" s="121"/>
      <c r="Z54" s="1">
        <f t="shared" si="1"/>
        <v>-1</v>
      </c>
    </row>
    <row r="55" spans="1:26" x14ac:dyDescent="0.2">
      <c r="A55" s="13" t="s">
        <v>20</v>
      </c>
      <c r="B55" s="13" t="s">
        <v>21</v>
      </c>
      <c r="C55" s="13">
        <v>22</v>
      </c>
      <c r="D55" s="14">
        <v>4922.6000000000004</v>
      </c>
      <c r="E55" s="15">
        <v>43.226399999999998</v>
      </c>
      <c r="F55" s="15">
        <v>45.348500000000001</v>
      </c>
      <c r="G55" s="15">
        <v>45.170499999999997</v>
      </c>
      <c r="H55" s="15"/>
      <c r="I55" s="15"/>
      <c r="J55" s="16"/>
      <c r="L55" s="14">
        <v>4932.76</v>
      </c>
      <c r="M55" s="15">
        <v>43.226300000000002</v>
      </c>
      <c r="N55" s="15">
        <v>45.375</v>
      </c>
      <c r="O55" s="15">
        <v>45.185699999999997</v>
      </c>
      <c r="P55" s="15"/>
      <c r="Q55" s="15"/>
      <c r="R55" s="16"/>
      <c r="S55" s="19"/>
      <c r="T55" s="123">
        <f>bdrate($D55:$D58,E55:E58,$L55:$L58,M55:M58)</f>
        <v>5.3489368784285229E-3</v>
      </c>
      <c r="U55" s="124">
        <f>bdrate($D55:$D58,F55:F58,$L55:$L58,N55:N58)</f>
        <v>6.7599032373397705E-3</v>
      </c>
      <c r="V55" s="124">
        <f>bdrate($D55:$D58,G55:G58,$L55:$L58,O55:O58)</f>
        <v>3.522168742857712E-4</v>
      </c>
      <c r="W55" s="117" t="e">
        <f ca="1">[1]!bdrateOld($D55:$D58,E55:E58,$L55:$L58,M55:M58)</f>
        <v>#NAME?</v>
      </c>
      <c r="X55" s="118" t="e">
        <f ca="1">[1]!bdrateOld($D55:$D58,F55:F58,$L55:$L58,N55:N58)</f>
        <v>#NAME?</v>
      </c>
      <c r="Y55" s="119" t="e">
        <f ca="1">[1]!bdrateOld($D55:$D58,G55:G58,$L55:$L58,O55:O58)</f>
        <v>#NAME?</v>
      </c>
      <c r="Z55" s="1">
        <f t="shared" si="1"/>
        <v>2.0639499451509066E-3</v>
      </c>
    </row>
    <row r="56" spans="1:26" x14ac:dyDescent="0.2">
      <c r="A56" s="23" t="s">
        <v>22</v>
      </c>
      <c r="B56" s="23"/>
      <c r="C56" s="23">
        <v>27</v>
      </c>
      <c r="D56" s="24">
        <v>2912.36</v>
      </c>
      <c r="E56" s="25">
        <v>39.692500000000003</v>
      </c>
      <c r="F56" s="25">
        <v>42.317999999999998</v>
      </c>
      <c r="G56" s="25">
        <v>41.918100000000003</v>
      </c>
      <c r="H56" s="25"/>
      <c r="I56" s="25"/>
      <c r="J56" s="26"/>
      <c r="L56" s="24">
        <v>2931.04</v>
      </c>
      <c r="M56" s="25">
        <v>39.684600000000003</v>
      </c>
      <c r="N56" s="25">
        <v>42.314100000000003</v>
      </c>
      <c r="O56" s="25">
        <v>41.971400000000003</v>
      </c>
      <c r="P56" s="25"/>
      <c r="Q56" s="25"/>
      <c r="R56" s="26"/>
      <c r="S56" s="19"/>
      <c r="T56" s="128"/>
      <c r="U56" s="44"/>
      <c r="V56" s="44"/>
      <c r="W56" s="113"/>
      <c r="X56" s="114"/>
      <c r="Y56" s="120"/>
      <c r="Z56" s="1">
        <f t="shared" si="1"/>
        <v>6.4140422200551564E-3</v>
      </c>
    </row>
    <row r="57" spans="1:26" x14ac:dyDescent="0.2">
      <c r="A57" s="23"/>
      <c r="B57" s="23"/>
      <c r="C57" s="23">
        <v>32</v>
      </c>
      <c r="D57" s="24">
        <v>1666.52</v>
      </c>
      <c r="E57" s="25">
        <v>36.334899999999998</v>
      </c>
      <c r="F57" s="25">
        <v>40.021000000000001</v>
      </c>
      <c r="G57" s="25">
        <v>39.433900000000001</v>
      </c>
      <c r="H57" s="25"/>
      <c r="I57" s="25"/>
      <c r="J57" s="26"/>
      <c r="L57" s="24">
        <v>1666.36</v>
      </c>
      <c r="M57" s="25">
        <v>36.315100000000001</v>
      </c>
      <c r="N57" s="25">
        <v>39.996899999999997</v>
      </c>
      <c r="O57" s="25">
        <v>39.426699999999997</v>
      </c>
      <c r="P57" s="25"/>
      <c r="Q57" s="25"/>
      <c r="R57" s="26"/>
      <c r="S57" s="19"/>
      <c r="T57" s="128"/>
      <c r="U57" s="44"/>
      <c r="V57" s="44"/>
      <c r="W57" s="113"/>
      <c r="X57" s="114"/>
      <c r="Y57" s="120"/>
      <c r="Z57" s="1">
        <f t="shared" si="1"/>
        <v>-9.600844874353855E-5</v>
      </c>
    </row>
    <row r="58" spans="1:26" ht="12.75" thickBot="1" x14ac:dyDescent="0.25">
      <c r="A58" s="23"/>
      <c r="B58" s="32"/>
      <c r="C58" s="32">
        <v>37</v>
      </c>
      <c r="D58" s="33">
        <v>919.96</v>
      </c>
      <c r="E58" s="34">
        <v>33.206600000000002</v>
      </c>
      <c r="F58" s="34">
        <v>38.302500000000002</v>
      </c>
      <c r="G58" s="34">
        <v>37.621400000000001</v>
      </c>
      <c r="H58" s="34"/>
      <c r="I58" s="34"/>
      <c r="J58" s="35"/>
      <c r="L58" s="33">
        <v>922</v>
      </c>
      <c r="M58" s="34">
        <v>33.182099999999998</v>
      </c>
      <c r="N58" s="34">
        <v>38.257899999999999</v>
      </c>
      <c r="O58" s="34">
        <v>37.576500000000003</v>
      </c>
      <c r="P58" s="34"/>
      <c r="Q58" s="34"/>
      <c r="R58" s="35"/>
      <c r="S58" s="19"/>
      <c r="T58" s="130"/>
      <c r="U58" s="131"/>
      <c r="V58" s="131"/>
      <c r="W58" s="115"/>
      <c r="X58" s="116"/>
      <c r="Y58" s="121"/>
      <c r="Z58" s="1">
        <f t="shared" si="1"/>
        <v>2.2174877168572148E-3</v>
      </c>
    </row>
    <row r="59" spans="1:26" x14ac:dyDescent="0.2">
      <c r="A59" s="23"/>
      <c r="B59" s="13" t="s">
        <v>23</v>
      </c>
      <c r="C59" s="13">
        <v>22</v>
      </c>
      <c r="D59" s="14">
        <v>12951.647999999999</v>
      </c>
      <c r="E59" s="15">
        <v>41.203400000000002</v>
      </c>
      <c r="F59" s="15">
        <v>43.197800000000001</v>
      </c>
      <c r="G59" s="15">
        <v>44.149099999999997</v>
      </c>
      <c r="H59" s="15"/>
      <c r="I59" s="15"/>
      <c r="J59" s="16"/>
      <c r="L59" s="14">
        <v>12971.712</v>
      </c>
      <c r="M59" s="15">
        <v>41.206099999999999</v>
      </c>
      <c r="N59" s="15">
        <v>43.208399999999997</v>
      </c>
      <c r="O59" s="15">
        <v>44.143599999999999</v>
      </c>
      <c r="P59" s="15"/>
      <c r="Q59" s="15"/>
      <c r="R59" s="16"/>
      <c r="S59" s="19"/>
      <c r="T59" s="123">
        <f>bdrate($D59:$D62,E59:E62,$L59:$L62,M59:M62)</f>
        <v>1.3402749097692901E-3</v>
      </c>
      <c r="U59" s="124">
        <f>bdrate($D59:$D62,F59:F62,$L59:$L62,N59:N62)</f>
        <v>3.3589790744585901E-3</v>
      </c>
      <c r="V59" s="124">
        <f>bdrate($D59:$D62,G59:G62,$L59:$L62,O59:O62)</f>
        <v>3.710299438318243E-3</v>
      </c>
      <c r="W59" s="117" t="e">
        <f ca="1">[1]!bdrateOld($D59:$D62,E59:E62,$L59:$L62,M59:M62)</f>
        <v>#NAME?</v>
      </c>
      <c r="X59" s="118" t="e">
        <f ca="1">[1]!bdrateOld($D59:$D62,F59:F62,$L59:$L62,N59:N62)</f>
        <v>#NAME?</v>
      </c>
      <c r="Y59" s="119" t="e">
        <f ca="1">[1]!bdrateOld($D59:$D62,G59:G62,$L59:$L62,O59:O62)</f>
        <v>#NAME?</v>
      </c>
      <c r="Z59" s="1">
        <f t="shared" si="1"/>
        <v>1.5491464869953466E-3</v>
      </c>
    </row>
    <row r="60" spans="1:26" x14ac:dyDescent="0.2">
      <c r="A60" s="23"/>
      <c r="B60" s="23"/>
      <c r="C60" s="23">
        <v>27</v>
      </c>
      <c r="D60" s="24">
        <v>8187.4080000000004</v>
      </c>
      <c r="E60" s="25">
        <v>36.803800000000003</v>
      </c>
      <c r="F60" s="25">
        <v>40.5762</v>
      </c>
      <c r="G60" s="25">
        <v>41.664000000000001</v>
      </c>
      <c r="H60" s="25"/>
      <c r="I60" s="25"/>
      <c r="J60" s="26"/>
      <c r="L60" s="24">
        <v>8182.2719999999999</v>
      </c>
      <c r="M60" s="25">
        <v>36.7958</v>
      </c>
      <c r="N60" s="25">
        <v>40.531999999999996</v>
      </c>
      <c r="O60" s="25">
        <v>41.627000000000002</v>
      </c>
      <c r="P60" s="25"/>
      <c r="Q60" s="25"/>
      <c r="R60" s="26"/>
      <c r="S60" s="19"/>
      <c r="T60" s="128"/>
      <c r="U60" s="44"/>
      <c r="V60" s="44"/>
      <c r="W60" s="113"/>
      <c r="X60" s="114"/>
      <c r="Y60" s="120"/>
      <c r="Z60" s="1">
        <f t="shared" si="1"/>
        <v>-6.2730475872222586E-4</v>
      </c>
    </row>
    <row r="61" spans="1:26" x14ac:dyDescent="0.2">
      <c r="A61" s="23"/>
      <c r="B61" s="23"/>
      <c r="C61" s="23">
        <v>32</v>
      </c>
      <c r="D61" s="24">
        <v>5002.8959999999997</v>
      </c>
      <c r="E61" s="25">
        <v>32.992899999999999</v>
      </c>
      <c r="F61" s="25">
        <v>38.953499999999998</v>
      </c>
      <c r="G61" s="25">
        <v>39.822299999999998</v>
      </c>
      <c r="H61" s="25"/>
      <c r="I61" s="25"/>
      <c r="J61" s="26"/>
      <c r="L61" s="24">
        <v>5018.3040000000001</v>
      </c>
      <c r="M61" s="25">
        <v>32.993600000000001</v>
      </c>
      <c r="N61" s="25">
        <v>38.986600000000003</v>
      </c>
      <c r="O61" s="25">
        <v>39.833199999999998</v>
      </c>
      <c r="P61" s="25"/>
      <c r="Q61" s="25"/>
      <c r="R61" s="26"/>
      <c r="S61" s="19"/>
      <c r="T61" s="128"/>
      <c r="U61" s="44"/>
      <c r="V61" s="44"/>
      <c r="W61" s="113"/>
      <c r="X61" s="114"/>
      <c r="Y61" s="120"/>
      <c r="Z61" s="1">
        <f t="shared" si="1"/>
        <v>3.0798161704741331E-3</v>
      </c>
    </row>
    <row r="62" spans="1:26" ht="12.75" thickBot="1" x14ac:dyDescent="0.25">
      <c r="A62" s="23"/>
      <c r="B62" s="32"/>
      <c r="C62" s="32">
        <v>37</v>
      </c>
      <c r="D62" s="33">
        <v>2963.808</v>
      </c>
      <c r="E62" s="34">
        <v>29.463100000000001</v>
      </c>
      <c r="F62" s="34">
        <v>37.890599999999999</v>
      </c>
      <c r="G62" s="34">
        <v>38.6083</v>
      </c>
      <c r="H62" s="34"/>
      <c r="I62" s="34"/>
      <c r="J62" s="35"/>
      <c r="L62" s="33">
        <v>2969.8560000000002</v>
      </c>
      <c r="M62" s="34">
        <v>29.474699999999999</v>
      </c>
      <c r="N62" s="34">
        <v>37.8855</v>
      </c>
      <c r="O62" s="34">
        <v>38.618899999999996</v>
      </c>
      <c r="P62" s="34"/>
      <c r="Q62" s="34"/>
      <c r="R62" s="35"/>
      <c r="S62" s="19"/>
      <c r="T62" s="130"/>
      <c r="U62" s="131"/>
      <c r="V62" s="131"/>
      <c r="W62" s="115"/>
      <c r="X62" s="116"/>
      <c r="Y62" s="121"/>
      <c r="Z62" s="1">
        <f t="shared" si="1"/>
        <v>2.0406180157419877E-3</v>
      </c>
    </row>
    <row r="63" spans="1:26" x14ac:dyDescent="0.2">
      <c r="A63" s="23"/>
      <c r="B63" s="13" t="s">
        <v>24</v>
      </c>
      <c r="C63" s="13">
        <v>22</v>
      </c>
      <c r="D63" s="14">
        <v>11654.72</v>
      </c>
      <c r="E63" s="15">
        <v>41.0246</v>
      </c>
      <c r="F63" s="15">
        <v>42.058100000000003</v>
      </c>
      <c r="G63" s="15">
        <v>42.734400000000001</v>
      </c>
      <c r="H63" s="15"/>
      <c r="I63" s="15"/>
      <c r="J63" s="16"/>
      <c r="L63" s="14">
        <v>11666.04</v>
      </c>
      <c r="M63" s="15">
        <v>41.020699999999998</v>
      </c>
      <c r="N63" s="15">
        <v>42.067</v>
      </c>
      <c r="O63" s="15">
        <v>42.757800000000003</v>
      </c>
      <c r="P63" s="15"/>
      <c r="Q63" s="15"/>
      <c r="R63" s="16"/>
      <c r="S63" s="19"/>
      <c r="T63" s="123">
        <f>bdrate($D63:$D66,E63:E66,$L63:$L66,M63:M66)</f>
        <v>2.2110059213305E-3</v>
      </c>
      <c r="U63" s="124">
        <f>bdrate($D63:$D66,F63:F66,$L63:$L66,N63:N66)</f>
        <v>-4.5165859664223484E-3</v>
      </c>
      <c r="V63" s="124">
        <f>bdrate($D63:$D66,G63:G66,$L63:$L66,O63:O66)</f>
        <v>5.0161269671324948E-3</v>
      </c>
      <c r="W63" s="117" t="e">
        <f ca="1">[1]!bdrateOld($D63:$D66,E63:E66,$L63:$L66,M63:M66)</f>
        <v>#NAME?</v>
      </c>
      <c r="X63" s="118" t="e">
        <f ca="1">[1]!bdrateOld($D63:$D66,F63:F66,$L63:$L66,N63:N66)</f>
        <v>#NAME?</v>
      </c>
      <c r="Y63" s="119" t="e">
        <f ca="1">[1]!bdrateOld($D63:$D66,G63:G66,$L63:$L66,O63:O66)</f>
        <v>#NAME?</v>
      </c>
      <c r="Z63" s="1">
        <f t="shared" si="1"/>
        <v>9.7128030531849145E-4</v>
      </c>
    </row>
    <row r="64" spans="1:26" x14ac:dyDescent="0.2">
      <c r="A64" s="23"/>
      <c r="B64" s="23"/>
      <c r="C64" s="23">
        <v>27</v>
      </c>
      <c r="D64" s="24">
        <v>7223.76</v>
      </c>
      <c r="E64" s="25">
        <v>36.7072</v>
      </c>
      <c r="F64" s="25">
        <v>38.844299999999997</v>
      </c>
      <c r="G64" s="25">
        <v>39.378399999999999</v>
      </c>
      <c r="H64" s="25"/>
      <c r="I64" s="25"/>
      <c r="J64" s="26"/>
      <c r="L64" s="24">
        <v>7243.76</v>
      </c>
      <c r="M64" s="25">
        <v>36.706499999999998</v>
      </c>
      <c r="N64" s="25">
        <v>38.876800000000003</v>
      </c>
      <c r="O64" s="25">
        <v>39.372799999999998</v>
      </c>
      <c r="P64" s="25"/>
      <c r="Q64" s="25"/>
      <c r="R64" s="26"/>
      <c r="S64" s="19"/>
      <c r="T64" s="128"/>
      <c r="U64" s="44"/>
      <c r="V64" s="44"/>
      <c r="W64" s="113"/>
      <c r="X64" s="114"/>
      <c r="Y64" s="120"/>
      <c r="Z64" s="1">
        <f t="shared" si="1"/>
        <v>2.7686412616144498E-3</v>
      </c>
    </row>
    <row r="65" spans="1:26" x14ac:dyDescent="0.2">
      <c r="A65" s="23"/>
      <c r="B65" s="23"/>
      <c r="C65" s="23">
        <v>32</v>
      </c>
      <c r="D65" s="24">
        <v>4126.4799999999996</v>
      </c>
      <c r="E65" s="25">
        <v>32.691600000000001</v>
      </c>
      <c r="F65" s="25">
        <v>36.528100000000002</v>
      </c>
      <c r="G65" s="25">
        <v>37.020699999999998</v>
      </c>
      <c r="H65" s="25"/>
      <c r="I65" s="25"/>
      <c r="J65" s="26"/>
      <c r="L65" s="24">
        <v>4140.92</v>
      </c>
      <c r="M65" s="25">
        <v>32.703000000000003</v>
      </c>
      <c r="N65" s="25">
        <v>36.557600000000001</v>
      </c>
      <c r="O65" s="25">
        <v>37.0015</v>
      </c>
      <c r="P65" s="25"/>
      <c r="Q65" s="25"/>
      <c r="R65" s="26"/>
      <c r="S65" s="19"/>
      <c r="T65" s="128"/>
      <c r="U65" s="44"/>
      <c r="V65" s="44"/>
      <c r="W65" s="113"/>
      <c r="X65" s="114"/>
      <c r="Y65" s="120"/>
      <c r="Z65" s="1">
        <f t="shared" si="1"/>
        <v>3.4993505360502199E-3</v>
      </c>
    </row>
    <row r="66" spans="1:26" ht="12.75" thickBot="1" x14ac:dyDescent="0.25">
      <c r="A66" s="23"/>
      <c r="B66" s="32"/>
      <c r="C66" s="32">
        <v>37</v>
      </c>
      <c r="D66" s="33">
        <v>2142.84</v>
      </c>
      <c r="E66" s="34">
        <v>29.133800000000001</v>
      </c>
      <c r="F66" s="34">
        <v>34.945399999999999</v>
      </c>
      <c r="G66" s="34">
        <v>35.393799999999999</v>
      </c>
      <c r="H66" s="34"/>
      <c r="I66" s="34"/>
      <c r="J66" s="35"/>
      <c r="L66" s="33">
        <v>2151.7600000000002</v>
      </c>
      <c r="M66" s="34">
        <v>29.141100000000002</v>
      </c>
      <c r="N66" s="34">
        <v>34.984299999999998</v>
      </c>
      <c r="O66" s="34">
        <v>35.378500000000003</v>
      </c>
      <c r="P66" s="34"/>
      <c r="Q66" s="34"/>
      <c r="R66" s="35"/>
      <c r="S66" s="19"/>
      <c r="T66" s="130"/>
      <c r="U66" s="131"/>
      <c r="V66" s="131"/>
      <c r="W66" s="115"/>
      <c r="X66" s="116"/>
      <c r="Y66" s="121"/>
      <c r="Z66" s="1">
        <f t="shared" si="1"/>
        <v>4.1626999682664468E-3</v>
      </c>
    </row>
    <row r="67" spans="1:26" x14ac:dyDescent="0.2">
      <c r="A67" s="23"/>
      <c r="B67" s="13" t="s">
        <v>19</v>
      </c>
      <c r="C67" s="13">
        <v>22</v>
      </c>
      <c r="D67" s="14">
        <v>4398.6000000000004</v>
      </c>
      <c r="E67" s="15">
        <v>42.465200000000003</v>
      </c>
      <c r="F67" s="15">
        <v>43.046199999999999</v>
      </c>
      <c r="G67" s="15">
        <v>43.926699999999997</v>
      </c>
      <c r="H67" s="15"/>
      <c r="I67" s="15"/>
      <c r="J67" s="16"/>
      <c r="L67" s="14">
        <v>4412.9520000000002</v>
      </c>
      <c r="M67" s="15">
        <v>42.476999999999997</v>
      </c>
      <c r="N67" s="15">
        <v>43.052799999999998</v>
      </c>
      <c r="O67" s="15">
        <v>43.918999999999997</v>
      </c>
      <c r="P67" s="15"/>
      <c r="Q67" s="15"/>
      <c r="R67" s="16"/>
      <c r="S67" s="19"/>
      <c r="T67" s="123">
        <f>bdrate($D67:$D70,E67:E70,$L67:$L70,M67:M70)</f>
        <v>2.3746014038730223E-3</v>
      </c>
      <c r="U67" s="124">
        <f>bdrate($D67:$D70,F67:F70,$L67:$L70,N67:N70)</f>
        <v>6.7098681596837739E-3</v>
      </c>
      <c r="V67" s="124">
        <f>bdrate($D67:$D70,G67:G70,$L67:$L70,O67:O70)</f>
        <v>9.3974365556777073E-3</v>
      </c>
      <c r="W67" s="117" t="e">
        <f ca="1">[1]!bdrateOld($D67:$D70,E67:E70,$L67:$L70,M67:M70)</f>
        <v>#NAME?</v>
      </c>
      <c r="X67" s="118" t="e">
        <f ca="1">[1]!bdrateOld($D67:$D70,F67:F70,$L67:$L70,N67:N70)</f>
        <v>#NAME?</v>
      </c>
      <c r="Y67" s="119" t="e">
        <f ca="1">[1]!bdrateOld($D67:$D70,G67:G70,$L67:$L70,O67:O70)</f>
        <v>#NAME?</v>
      </c>
      <c r="Z67" s="1">
        <f>(L67-D67)/D67</f>
        <v>3.2628563633883192E-3</v>
      </c>
    </row>
    <row r="68" spans="1:26" x14ac:dyDescent="0.2">
      <c r="A68" s="23"/>
      <c r="B68" s="23"/>
      <c r="C68" s="23">
        <v>27</v>
      </c>
      <c r="D68" s="24">
        <v>2655.288</v>
      </c>
      <c r="E68" s="25">
        <v>38.496899999999997</v>
      </c>
      <c r="F68" s="25">
        <v>39.666699999999999</v>
      </c>
      <c r="G68" s="25">
        <v>40.9178</v>
      </c>
      <c r="H68" s="25"/>
      <c r="I68" s="25"/>
      <c r="J68" s="26"/>
      <c r="L68" s="24">
        <v>2663.5439999999999</v>
      </c>
      <c r="M68" s="25">
        <v>38.5002</v>
      </c>
      <c r="N68" s="25">
        <v>39.640700000000002</v>
      </c>
      <c r="O68" s="25">
        <v>40.933300000000003</v>
      </c>
      <c r="P68" s="25"/>
      <c r="Q68" s="25"/>
      <c r="R68" s="26"/>
      <c r="S68" s="19"/>
      <c r="T68" s="128"/>
      <c r="U68" s="44"/>
      <c r="V68" s="44"/>
      <c r="W68" s="113"/>
      <c r="X68" s="114"/>
      <c r="Y68" s="120"/>
      <c r="Z68" s="1">
        <f t="shared" si="1"/>
        <v>3.109267243327224E-3</v>
      </c>
    </row>
    <row r="69" spans="1:26" x14ac:dyDescent="0.2">
      <c r="A69" s="23"/>
      <c r="B69" s="23"/>
      <c r="C69" s="23">
        <v>32</v>
      </c>
      <c r="D69" s="24">
        <v>1466.808</v>
      </c>
      <c r="E69" s="25">
        <v>34.683599999999998</v>
      </c>
      <c r="F69" s="25">
        <v>37.370699999999999</v>
      </c>
      <c r="G69" s="25">
        <v>38.651400000000002</v>
      </c>
      <c r="H69" s="25"/>
      <c r="I69" s="25"/>
      <c r="J69" s="26"/>
      <c r="L69" s="24">
        <v>1471.2719999999999</v>
      </c>
      <c r="M69" s="25">
        <v>34.687899999999999</v>
      </c>
      <c r="N69" s="25">
        <v>37.373100000000001</v>
      </c>
      <c r="O69" s="25">
        <v>38.565100000000001</v>
      </c>
      <c r="P69" s="25"/>
      <c r="Q69" s="25"/>
      <c r="R69" s="26"/>
      <c r="S69" s="19"/>
      <c r="T69" s="128"/>
      <c r="U69" s="44"/>
      <c r="V69" s="44"/>
      <c r="W69" s="113"/>
      <c r="X69" s="114"/>
      <c r="Y69" s="120"/>
      <c r="Z69" s="1">
        <f t="shared" si="1"/>
        <v>3.0433430960288884E-3</v>
      </c>
    </row>
    <row r="70" spans="1:26" ht="12.75" thickBot="1" x14ac:dyDescent="0.25">
      <c r="A70" s="32"/>
      <c r="B70" s="32"/>
      <c r="C70" s="32">
        <v>37</v>
      </c>
      <c r="D70" s="33">
        <v>744.74400000000003</v>
      </c>
      <c r="E70" s="34">
        <v>31.374300000000002</v>
      </c>
      <c r="F70" s="34">
        <v>35.753900000000002</v>
      </c>
      <c r="G70" s="34">
        <v>36.929000000000002</v>
      </c>
      <c r="H70" s="34"/>
      <c r="I70" s="34"/>
      <c r="J70" s="35"/>
      <c r="L70" s="33">
        <v>744.69600000000003</v>
      </c>
      <c r="M70" s="34">
        <v>31.3642</v>
      </c>
      <c r="N70" s="34">
        <v>35.713200000000001</v>
      </c>
      <c r="O70" s="34">
        <v>36.935200000000002</v>
      </c>
      <c r="P70" s="34"/>
      <c r="Q70" s="34"/>
      <c r="R70" s="35"/>
      <c r="S70" s="19"/>
      <c r="T70" s="130"/>
      <c r="U70" s="131"/>
      <c r="V70" s="131"/>
      <c r="W70" s="115"/>
      <c r="X70" s="116"/>
      <c r="Y70" s="121"/>
      <c r="Z70" s="1">
        <f t="shared" si="1"/>
        <v>-6.4451677354905601E-5</v>
      </c>
    </row>
    <row r="71" spans="1:26" x14ac:dyDescent="0.2">
      <c r="A71" s="13" t="s">
        <v>108</v>
      </c>
      <c r="B71" s="13" t="s">
        <v>81</v>
      </c>
      <c r="C71" s="13">
        <v>22</v>
      </c>
      <c r="D71" s="14">
        <v>30261.168000000001</v>
      </c>
      <c r="E71" s="15">
        <v>43.802500000000002</v>
      </c>
      <c r="F71" s="15">
        <v>46.802700000000002</v>
      </c>
      <c r="G71" s="15">
        <v>47.922400000000003</v>
      </c>
      <c r="H71" s="15"/>
      <c r="I71" s="15"/>
      <c r="J71" s="16"/>
      <c r="L71" s="14">
        <v>30344.736000000001</v>
      </c>
      <c r="M71" s="15">
        <v>43.805300000000003</v>
      </c>
      <c r="N71" s="15">
        <v>46.777000000000001</v>
      </c>
      <c r="O71" s="15">
        <v>47.908200000000001</v>
      </c>
      <c r="P71" s="15"/>
      <c r="Q71" s="15"/>
      <c r="R71" s="16"/>
      <c r="S71" s="19"/>
      <c r="T71" s="123">
        <f>bdrate($D71:$D74,E71:E74,$L71:$L74,M71:M74)</f>
        <v>4.1897464444964339E-3</v>
      </c>
      <c r="U71" s="124">
        <f>bdrate($D71:$D74,F71:F74,$L71:$L74,N71:N74)</f>
        <v>8.175252323513682E-3</v>
      </c>
      <c r="V71" s="124">
        <f>bdrate($D71:$D74,G71:G74,$L71:$L74,O71:O74)</f>
        <v>5.4606769764558027E-3</v>
      </c>
      <c r="W71" s="117" t="e">
        <f ca="1">[1]!bdrateOld($D71:$D74,E71:E74,$L71:$L74,M71:M74)</f>
        <v>#NAME?</v>
      </c>
      <c r="X71" s="118" t="e">
        <f ca="1">[1]!bdrateOld($D71:$D74,F71:F74,$L71:$L74,N71:N74)</f>
        <v>#NAME?</v>
      </c>
      <c r="Y71" s="119" t="e">
        <f ca="1">[1]!bdrateOld($D71:$D74,G71:G74,$L71:$L74,O71:O74)</f>
        <v>#NAME?</v>
      </c>
      <c r="Z71" s="1">
        <f t="shared" si="1"/>
        <v>2.7615589722114922E-3</v>
      </c>
    </row>
    <row r="72" spans="1:26" x14ac:dyDescent="0.2">
      <c r="A72" s="23" t="s">
        <v>26</v>
      </c>
      <c r="B72" s="23"/>
      <c r="C72" s="23">
        <v>27</v>
      </c>
      <c r="D72" s="24">
        <v>18553.008000000002</v>
      </c>
      <c r="E72" s="25">
        <v>41.240699999999997</v>
      </c>
      <c r="F72" s="25">
        <v>44.4405</v>
      </c>
      <c r="G72" s="25">
        <v>45.686500000000002</v>
      </c>
      <c r="H72" s="25"/>
      <c r="I72" s="25"/>
      <c r="J72" s="26"/>
      <c r="L72" s="24">
        <v>18602.544000000002</v>
      </c>
      <c r="M72" s="25">
        <v>41.234000000000002</v>
      </c>
      <c r="N72" s="25">
        <v>44.414700000000003</v>
      </c>
      <c r="O72" s="25">
        <v>45.674300000000002</v>
      </c>
      <c r="P72" s="25"/>
      <c r="Q72" s="25"/>
      <c r="R72" s="26"/>
      <c r="S72" s="19"/>
      <c r="T72" s="128"/>
      <c r="U72" s="44"/>
      <c r="V72" s="44"/>
      <c r="W72" s="113"/>
      <c r="X72" s="114"/>
      <c r="Y72" s="120"/>
      <c r="Z72" s="1">
        <f t="shared" ref="Z72:Z82" si="2">(L72-D72)/D72</f>
        <v>2.6699713599002413E-3</v>
      </c>
    </row>
    <row r="73" spans="1:26" x14ac:dyDescent="0.2">
      <c r="A73" s="23"/>
      <c r="B73" s="23"/>
      <c r="C73" s="23">
        <v>32</v>
      </c>
      <c r="D73" s="24">
        <v>11405.232</v>
      </c>
      <c r="E73" s="25">
        <v>38.369300000000003</v>
      </c>
      <c r="F73" s="25">
        <v>42.455399999999997</v>
      </c>
      <c r="G73" s="25">
        <v>43.662599999999998</v>
      </c>
      <c r="H73" s="25"/>
      <c r="I73" s="25"/>
      <c r="J73" s="26"/>
      <c r="L73" s="24">
        <v>11435.616</v>
      </c>
      <c r="M73" s="25">
        <v>38.358400000000003</v>
      </c>
      <c r="N73" s="25">
        <v>42.442100000000003</v>
      </c>
      <c r="O73" s="25">
        <v>43.639099999999999</v>
      </c>
      <c r="P73" s="25"/>
      <c r="Q73" s="25"/>
      <c r="R73" s="26"/>
      <c r="S73" s="19"/>
      <c r="T73" s="128"/>
      <c r="U73" s="44"/>
      <c r="V73" s="44"/>
      <c r="W73" s="113"/>
      <c r="X73" s="114"/>
      <c r="Y73" s="120"/>
      <c r="Z73" s="1">
        <f t="shared" si="2"/>
        <v>2.6640405035162824E-3</v>
      </c>
    </row>
    <row r="74" spans="1:26" ht="12.75" thickBot="1" x14ac:dyDescent="0.25">
      <c r="A74" s="23"/>
      <c r="B74" s="32"/>
      <c r="C74" s="32">
        <v>37</v>
      </c>
      <c r="D74" s="33">
        <v>6927.4080000000004</v>
      </c>
      <c r="E74" s="34">
        <v>35.270299999999999</v>
      </c>
      <c r="F74" s="34">
        <v>41.099600000000002</v>
      </c>
      <c r="G74" s="34">
        <v>42.179499999999997</v>
      </c>
      <c r="H74" s="34"/>
      <c r="I74" s="34"/>
      <c r="J74" s="35"/>
      <c r="L74" s="33">
        <v>6953.6639999999998</v>
      </c>
      <c r="M74" s="34">
        <v>35.257599999999996</v>
      </c>
      <c r="N74" s="34">
        <v>41.078499999999998</v>
      </c>
      <c r="O74" s="34">
        <v>42.212800000000001</v>
      </c>
      <c r="P74" s="34"/>
      <c r="Q74" s="34"/>
      <c r="R74" s="35"/>
      <c r="S74" s="19"/>
      <c r="T74" s="130"/>
      <c r="U74" s="131"/>
      <c r="V74" s="131"/>
      <c r="W74" s="115"/>
      <c r="X74" s="116"/>
      <c r="Y74" s="121"/>
      <c r="Z74" s="1">
        <f t="shared" si="2"/>
        <v>3.790162207856012E-3</v>
      </c>
    </row>
    <row r="75" spans="1:26" x14ac:dyDescent="0.2">
      <c r="A75" s="23"/>
      <c r="B75" s="13" t="s">
        <v>82</v>
      </c>
      <c r="C75" s="13">
        <v>22</v>
      </c>
      <c r="D75" s="14">
        <v>20123.52</v>
      </c>
      <c r="E75" s="15">
        <v>44.064599999999999</v>
      </c>
      <c r="F75" s="15">
        <v>48.078000000000003</v>
      </c>
      <c r="G75" s="15">
        <v>48.626600000000003</v>
      </c>
      <c r="H75" s="15"/>
      <c r="I75" s="15"/>
      <c r="J75" s="16"/>
      <c r="L75" s="14">
        <v>20207.808000000001</v>
      </c>
      <c r="M75" s="15">
        <v>44.064</v>
      </c>
      <c r="N75" s="15">
        <v>48.078600000000002</v>
      </c>
      <c r="O75" s="15">
        <v>48.6066</v>
      </c>
      <c r="P75" s="15"/>
      <c r="Q75" s="15"/>
      <c r="R75" s="16"/>
      <c r="S75" s="19"/>
      <c r="T75" s="123">
        <f>bdrate($D75:$D78,E75:E78,$L75:$L78,M75:M78)</f>
        <v>6.874469058605337E-3</v>
      </c>
      <c r="U75" s="124">
        <f>bdrate($D75:$D78,F75:F78,$L75:$L78,N75:N78)</f>
        <v>7.2025956322301354E-3</v>
      </c>
      <c r="V75" s="124">
        <f>bdrate($D75:$D78,G75:G78,$L75:$L78,O75:O78)</f>
        <v>1.7701851487105236E-2</v>
      </c>
      <c r="W75" s="41" t="e">
        <f ca="1">[1]!bdrateOld($D75:$D78,E75:E78,$L75:$L78,M75:M78)</f>
        <v>#NAME?</v>
      </c>
      <c r="X75" s="42" t="e">
        <f ca="1">[1]!bdrateOld($D75:$D78,F75:F78,$L75:$L78,N75:N78)</f>
        <v>#NAME?</v>
      </c>
      <c r="Y75" s="43" t="e">
        <f ca="1">[1]!bdrateOld($D75:$D78,G75:G78,$L75:$L78,O75:O78)</f>
        <v>#NAME?</v>
      </c>
      <c r="Z75" s="1">
        <f t="shared" si="2"/>
        <v>4.1885316286614099E-3</v>
      </c>
    </row>
    <row r="76" spans="1:26" x14ac:dyDescent="0.2">
      <c r="A76" s="23"/>
      <c r="B76" s="23"/>
      <c r="C76" s="23">
        <v>27</v>
      </c>
      <c r="D76" s="24">
        <v>11272.56</v>
      </c>
      <c r="E76" s="25">
        <v>41.862099999999998</v>
      </c>
      <c r="F76" s="25">
        <v>46.192599999999999</v>
      </c>
      <c r="G76" s="25">
        <v>46.745399999999997</v>
      </c>
      <c r="H76" s="25"/>
      <c r="I76" s="25"/>
      <c r="J76" s="26"/>
      <c r="L76" s="24">
        <v>11300.016</v>
      </c>
      <c r="M76" s="25">
        <v>41.856999999999999</v>
      </c>
      <c r="N76" s="25">
        <v>46.151200000000003</v>
      </c>
      <c r="O76" s="25">
        <v>46.7209</v>
      </c>
      <c r="P76" s="25"/>
      <c r="Q76" s="25"/>
      <c r="R76" s="26"/>
      <c r="S76" s="19"/>
      <c r="T76" s="128"/>
      <c r="U76" s="44"/>
      <c r="V76" s="44"/>
      <c r="W76" s="29"/>
      <c r="X76" s="30"/>
      <c r="Y76" s="31"/>
      <c r="Z76" s="1">
        <f t="shared" si="2"/>
        <v>2.4356490451148747E-3</v>
      </c>
    </row>
    <row r="77" spans="1:26" x14ac:dyDescent="0.2">
      <c r="A77" s="23"/>
      <c r="B77" s="23"/>
      <c r="C77" s="23">
        <v>32</v>
      </c>
      <c r="D77" s="24">
        <v>6456.768</v>
      </c>
      <c r="E77" s="25">
        <v>39.514000000000003</v>
      </c>
      <c r="F77" s="25">
        <v>44.319200000000002</v>
      </c>
      <c r="G77" s="25">
        <v>44.924599999999998</v>
      </c>
      <c r="H77" s="25"/>
      <c r="I77" s="25"/>
      <c r="J77" s="26"/>
      <c r="L77" s="24">
        <v>6473.3280000000004</v>
      </c>
      <c r="M77" s="25">
        <v>39.4876</v>
      </c>
      <c r="N77" s="25">
        <v>44.312199999999997</v>
      </c>
      <c r="O77" s="25">
        <v>44.83</v>
      </c>
      <c r="P77" s="25"/>
      <c r="Q77" s="25"/>
      <c r="R77" s="26"/>
      <c r="S77" s="19"/>
      <c r="T77" s="128"/>
      <c r="U77" s="44"/>
      <c r="V77" s="44"/>
      <c r="W77" s="29"/>
      <c r="X77" s="30"/>
      <c r="Y77" s="31"/>
      <c r="Z77" s="1">
        <f t="shared" si="2"/>
        <v>2.5647506616313922E-3</v>
      </c>
    </row>
    <row r="78" spans="1:26" ht="12.75" thickBot="1" x14ac:dyDescent="0.25">
      <c r="A78" s="23"/>
      <c r="B78" s="32"/>
      <c r="C78" s="32">
        <v>37</v>
      </c>
      <c r="D78" s="33">
        <v>3720.672</v>
      </c>
      <c r="E78" s="34">
        <v>36.906799999999997</v>
      </c>
      <c r="F78" s="34">
        <v>42.767000000000003</v>
      </c>
      <c r="G78" s="34">
        <v>43.2363</v>
      </c>
      <c r="H78" s="34"/>
      <c r="I78" s="34"/>
      <c r="J78" s="35"/>
      <c r="L78" s="33">
        <v>3738.9119999999998</v>
      </c>
      <c r="M78" s="34">
        <v>36.869799999999998</v>
      </c>
      <c r="N78" s="34">
        <v>42.809800000000003</v>
      </c>
      <c r="O78" s="34">
        <v>43.233400000000003</v>
      </c>
      <c r="P78" s="34"/>
      <c r="Q78" s="34"/>
      <c r="R78" s="35"/>
      <c r="S78" s="19"/>
      <c r="T78" s="130"/>
      <c r="U78" s="131"/>
      <c r="V78" s="131"/>
      <c r="W78" s="38"/>
      <c r="X78" s="39"/>
      <c r="Y78" s="40"/>
      <c r="Z78" s="1">
        <f t="shared" si="2"/>
        <v>4.9023402224113765E-3</v>
      </c>
    </row>
    <row r="79" spans="1:26" x14ac:dyDescent="0.2">
      <c r="A79" s="23"/>
      <c r="B79" s="13" t="s">
        <v>83</v>
      </c>
      <c r="C79" s="13">
        <v>22</v>
      </c>
      <c r="D79" s="14">
        <v>22179.119999999999</v>
      </c>
      <c r="E79" s="15">
        <v>44.418100000000003</v>
      </c>
      <c r="F79" s="15">
        <v>47.503700000000002</v>
      </c>
      <c r="G79" s="15">
        <v>48.330399999999997</v>
      </c>
      <c r="H79" s="15"/>
      <c r="I79" s="15"/>
      <c r="J79" s="16"/>
      <c r="L79" s="14">
        <v>22264.944</v>
      </c>
      <c r="M79" s="15">
        <v>44.418300000000002</v>
      </c>
      <c r="N79" s="15">
        <v>47.491199999999999</v>
      </c>
      <c r="O79" s="15">
        <v>48.321800000000003</v>
      </c>
      <c r="P79" s="15"/>
      <c r="Q79" s="15"/>
      <c r="R79" s="16"/>
      <c r="S79" s="19"/>
      <c r="T79" s="123">
        <f>bdrate($D79:$D82,E79:E82,$L79:$L82,M79:M82)</f>
        <v>5.8333735689959365E-3</v>
      </c>
      <c r="U79" s="124">
        <f>bdrate($D79:$D82,F79:F82,$L79:$L82,N79:N82)</f>
        <v>1.1124769738252827E-2</v>
      </c>
      <c r="V79" s="124">
        <f>bdrate($D79:$D82,G79:G82,$L79:$L82,O79:O82)</f>
        <v>1.7034507041307823E-2</v>
      </c>
      <c r="W79" s="41" t="e">
        <f ca="1">[1]!bdrateOld($D79:$D82,E79:E82,$L79:$L82,M79:M82)</f>
        <v>#NAME?</v>
      </c>
      <c r="X79" s="42" t="e">
        <f ca="1">[1]!bdrateOld($D79:$D82,F79:F82,$L79:$L82,N79:N82)</f>
        <v>#NAME?</v>
      </c>
      <c r="Y79" s="43" t="e">
        <f ca="1">[1]!bdrateOld($D79:$D82,G79:G82,$L79:$L82,O79:O82)</f>
        <v>#NAME?</v>
      </c>
      <c r="Z79" s="1">
        <f t="shared" si="2"/>
        <v>3.8695854479348381E-3</v>
      </c>
    </row>
    <row r="80" spans="1:26" x14ac:dyDescent="0.2">
      <c r="A80" s="23"/>
      <c r="B80" s="23"/>
      <c r="C80" s="23">
        <v>27</v>
      </c>
      <c r="D80" s="24">
        <v>13266.912</v>
      </c>
      <c r="E80" s="25">
        <v>42.108899999999998</v>
      </c>
      <c r="F80" s="25">
        <v>45.400300000000001</v>
      </c>
      <c r="G80" s="25">
        <v>46.3386</v>
      </c>
      <c r="H80" s="25"/>
      <c r="I80" s="25"/>
      <c r="J80" s="26"/>
      <c r="L80" s="24">
        <v>13315.92</v>
      </c>
      <c r="M80" s="25">
        <v>42.105899999999998</v>
      </c>
      <c r="N80" s="25">
        <v>45.391800000000003</v>
      </c>
      <c r="O80" s="25">
        <v>46.292299999999997</v>
      </c>
      <c r="P80" s="25"/>
      <c r="Q80" s="25"/>
      <c r="R80" s="26"/>
      <c r="S80" s="19"/>
      <c r="T80" s="128"/>
      <c r="U80" s="44"/>
      <c r="V80" s="44"/>
      <c r="W80" s="29"/>
      <c r="X80" s="30"/>
      <c r="Y80" s="31"/>
      <c r="Z80" s="1">
        <f t="shared" si="2"/>
        <v>3.6940020405652656E-3</v>
      </c>
    </row>
    <row r="81" spans="1:26" x14ac:dyDescent="0.2">
      <c r="A81" s="23"/>
      <c r="B81" s="23"/>
      <c r="C81" s="23">
        <v>32</v>
      </c>
      <c r="D81" s="24">
        <v>8032.8</v>
      </c>
      <c r="E81" s="25">
        <v>39.467799999999997</v>
      </c>
      <c r="F81" s="25">
        <v>43.436100000000003</v>
      </c>
      <c r="G81" s="25">
        <v>44.436199999999999</v>
      </c>
      <c r="H81" s="25"/>
      <c r="I81" s="25"/>
      <c r="J81" s="26"/>
      <c r="L81" s="24">
        <v>8079.7920000000004</v>
      </c>
      <c r="M81" s="25">
        <v>39.463200000000001</v>
      </c>
      <c r="N81" s="25">
        <v>43.410699999999999</v>
      </c>
      <c r="O81" s="25">
        <v>44.374600000000001</v>
      </c>
      <c r="P81" s="25"/>
      <c r="Q81" s="25"/>
      <c r="R81" s="26"/>
      <c r="S81" s="19"/>
      <c r="T81" s="128"/>
      <c r="U81" s="44"/>
      <c r="V81" s="44"/>
      <c r="W81" s="29"/>
      <c r="X81" s="30"/>
      <c r="Y81" s="31"/>
      <c r="Z81" s="1">
        <f t="shared" si="2"/>
        <v>5.8500149387511434E-3</v>
      </c>
    </row>
    <row r="82" spans="1:26" ht="12.75" thickBot="1" x14ac:dyDescent="0.25">
      <c r="A82" s="32"/>
      <c r="B82" s="32"/>
      <c r="C82" s="32">
        <v>37</v>
      </c>
      <c r="D82" s="33">
        <v>4862.1120000000001</v>
      </c>
      <c r="E82" s="34">
        <v>36.574199999999998</v>
      </c>
      <c r="F82" s="34">
        <v>42.0411</v>
      </c>
      <c r="G82" s="34">
        <v>42.891500000000001</v>
      </c>
      <c r="H82" s="34"/>
      <c r="I82" s="34"/>
      <c r="J82" s="35"/>
      <c r="L82" s="33">
        <v>4880.6880000000001</v>
      </c>
      <c r="M82" s="34">
        <v>36.545400000000001</v>
      </c>
      <c r="N82" s="34">
        <v>41.959600000000002</v>
      </c>
      <c r="O82" s="34">
        <v>42.863199999999999</v>
      </c>
      <c r="P82" s="34"/>
      <c r="Q82" s="34"/>
      <c r="R82" s="35"/>
      <c r="S82" s="19"/>
      <c r="T82" s="130"/>
      <c r="U82" s="131"/>
      <c r="V82" s="131"/>
      <c r="W82" s="38"/>
      <c r="X82" s="39"/>
      <c r="Y82" s="40"/>
      <c r="Z82" s="1">
        <f t="shared" si="2"/>
        <v>3.8205619286433594E-3</v>
      </c>
    </row>
    <row r="83" spans="1:26" x14ac:dyDescent="0.2">
      <c r="A83" s="63" t="s">
        <v>58</v>
      </c>
      <c r="B83" s="63" t="s">
        <v>59</v>
      </c>
      <c r="C83" s="63">
        <v>22</v>
      </c>
      <c r="D83" s="14"/>
      <c r="E83" s="15"/>
      <c r="F83" s="15"/>
      <c r="G83" s="15"/>
      <c r="H83" s="15"/>
      <c r="I83" s="15"/>
      <c r="J83" s="16"/>
      <c r="L83" s="14"/>
      <c r="M83" s="15"/>
      <c r="N83" s="15"/>
      <c r="O83" s="15"/>
      <c r="P83" s="15"/>
      <c r="Q83" s="15"/>
      <c r="R83" s="16"/>
      <c r="S83" s="19"/>
      <c r="T83" s="123" t="e">
        <f ca="1">[1]!bdrate($D83:$D86,E83:E86,$L83:$L86,M83:M86)</f>
        <v>#NAME?</v>
      </c>
      <c r="U83" s="124" t="e">
        <f ca="1">[1]!bdrate($D83:$D86,F83:F86,$L83:$L86,N83:N86)</f>
        <v>#NAME?</v>
      </c>
      <c r="V83" s="124" t="e">
        <f ca="1">[1]!bdrate($D83:$D86,G83:G86,$L83:$L86,O83:O86)</f>
        <v>#NAME?</v>
      </c>
      <c r="W83" s="41" t="e">
        <f ca="1">[1]!bdrateOld($D83:$D86,E83:E86,$L83:$L86,M83:M86)</f>
        <v>#NAME?</v>
      </c>
      <c r="X83" s="42" t="e">
        <f ca="1">[1]!bdrateOld($D83:$D86,F83:F86,$L83:$L86,N83:N86)</f>
        <v>#NAME?</v>
      </c>
      <c r="Y83" s="43" t="e">
        <f ca="1">[1]!bdrateOld($D83:$D86,G83:G86,$L83:$L86,O83:O86)</f>
        <v>#NAME?</v>
      </c>
    </row>
    <row r="84" spans="1:26" x14ac:dyDescent="0.2">
      <c r="A84" s="64"/>
      <c r="B84" s="64"/>
      <c r="C84" s="64">
        <v>27</v>
      </c>
      <c r="D84" s="24"/>
      <c r="E84" s="25"/>
      <c r="F84" s="25"/>
      <c r="G84" s="25"/>
      <c r="H84" s="25"/>
      <c r="I84" s="25"/>
      <c r="J84" s="26"/>
      <c r="L84" s="24"/>
      <c r="M84" s="25"/>
      <c r="N84" s="25"/>
      <c r="O84" s="25"/>
      <c r="P84" s="25"/>
      <c r="Q84" s="25"/>
      <c r="R84" s="26"/>
      <c r="S84" s="19"/>
      <c r="T84" s="128"/>
      <c r="U84" s="44"/>
      <c r="V84" s="44"/>
      <c r="W84" s="29"/>
      <c r="X84" s="30"/>
      <c r="Y84" s="31"/>
    </row>
    <row r="85" spans="1:26" x14ac:dyDescent="0.2">
      <c r="A85" s="64"/>
      <c r="B85" s="64"/>
      <c r="C85" s="64">
        <v>32</v>
      </c>
      <c r="D85" s="24"/>
      <c r="E85" s="25"/>
      <c r="F85" s="25"/>
      <c r="G85" s="25"/>
      <c r="H85" s="25"/>
      <c r="I85" s="25"/>
      <c r="J85" s="26"/>
      <c r="L85" s="24"/>
      <c r="M85" s="25"/>
      <c r="N85" s="25"/>
      <c r="O85" s="25"/>
      <c r="P85" s="25"/>
      <c r="Q85" s="25"/>
      <c r="R85" s="26"/>
      <c r="S85" s="19"/>
      <c r="T85" s="128"/>
      <c r="U85" s="44"/>
      <c r="V85" s="44"/>
      <c r="W85" s="29"/>
      <c r="X85" s="30"/>
      <c r="Y85" s="31"/>
    </row>
    <row r="86" spans="1:26" ht="12.75" thickBot="1" x14ac:dyDescent="0.25">
      <c r="A86" s="64"/>
      <c r="B86" s="65"/>
      <c r="C86" s="65">
        <v>37</v>
      </c>
      <c r="D86" s="33"/>
      <c r="E86" s="34"/>
      <c r="F86" s="34"/>
      <c r="G86" s="34"/>
      <c r="H86" s="34"/>
      <c r="I86" s="34"/>
      <c r="J86" s="35"/>
      <c r="L86" s="33"/>
      <c r="M86" s="34"/>
      <c r="N86" s="34"/>
      <c r="O86" s="34"/>
      <c r="P86" s="34"/>
      <c r="Q86" s="34"/>
      <c r="R86" s="35"/>
      <c r="S86" s="19"/>
      <c r="T86" s="130"/>
      <c r="U86" s="131"/>
      <c r="V86" s="131"/>
      <c r="W86" s="38"/>
      <c r="X86" s="39"/>
      <c r="Y86" s="40"/>
    </row>
    <row r="87" spans="1:26" x14ac:dyDescent="0.2">
      <c r="A87" s="64"/>
      <c r="B87" s="63" t="s">
        <v>60</v>
      </c>
      <c r="C87" s="63">
        <v>22</v>
      </c>
      <c r="D87" s="14"/>
      <c r="E87" s="15"/>
      <c r="F87" s="15"/>
      <c r="G87" s="15"/>
      <c r="H87" s="15"/>
      <c r="I87" s="15"/>
      <c r="J87" s="16"/>
      <c r="L87" s="14"/>
      <c r="M87" s="15"/>
      <c r="N87" s="15"/>
      <c r="O87" s="15"/>
      <c r="P87" s="15"/>
      <c r="Q87" s="15"/>
      <c r="R87" s="16"/>
      <c r="S87" s="19"/>
      <c r="T87" s="123" t="e">
        <f ca="1">[1]!bdrate($D87:$D90,E87:E90,$L87:$L90,M87:M90)</f>
        <v>#NAME?</v>
      </c>
      <c r="U87" s="124" t="e">
        <f ca="1">[1]!bdrate($D87:$D90,F87:F90,$L87:$L90,N87:N90)</f>
        <v>#NAME?</v>
      </c>
      <c r="V87" s="124" t="e">
        <f ca="1">[1]!bdrate($D87:$D90,G87:G90,$L87:$L90,O87:O90)</f>
        <v>#NAME?</v>
      </c>
      <c r="W87" s="41" t="e">
        <f ca="1">[1]!bdrateOld($D87:$D90,E87:E90,$L87:$L90,M87:M90)</f>
        <v>#NAME?</v>
      </c>
      <c r="X87" s="42" t="e">
        <f ca="1">[1]!bdrateOld($D87:$D90,F87:F90,$L87:$L90,N87:N90)</f>
        <v>#NAME?</v>
      </c>
      <c r="Y87" s="43" t="e">
        <f ca="1">[1]!bdrateOld($D87:$D90,G87:G90,$L87:$L90,O87:O90)</f>
        <v>#NAME?</v>
      </c>
    </row>
    <row r="88" spans="1:26" x14ac:dyDescent="0.2">
      <c r="A88" s="64"/>
      <c r="B88" s="64"/>
      <c r="C88" s="64">
        <v>27</v>
      </c>
      <c r="D88" s="24"/>
      <c r="E88" s="25"/>
      <c r="F88" s="25"/>
      <c r="G88" s="25"/>
      <c r="H88" s="25"/>
      <c r="I88" s="25"/>
      <c r="J88" s="26"/>
      <c r="L88" s="24"/>
      <c r="M88" s="25"/>
      <c r="N88" s="25"/>
      <c r="O88" s="25"/>
      <c r="P88" s="25"/>
      <c r="Q88" s="25"/>
      <c r="R88" s="26"/>
      <c r="S88" s="19"/>
      <c r="T88" s="128"/>
      <c r="U88" s="44"/>
      <c r="V88" s="44"/>
      <c r="W88" s="29"/>
      <c r="X88" s="30"/>
      <c r="Y88" s="31"/>
    </row>
    <row r="89" spans="1:26" x14ac:dyDescent="0.2">
      <c r="A89" s="64"/>
      <c r="B89" s="64"/>
      <c r="C89" s="64">
        <v>32</v>
      </c>
      <c r="D89" s="24"/>
      <c r="E89" s="25"/>
      <c r="F89" s="25"/>
      <c r="G89" s="25"/>
      <c r="H89" s="25"/>
      <c r="I89" s="25"/>
      <c r="J89" s="26"/>
      <c r="L89" s="24"/>
      <c r="M89" s="25"/>
      <c r="N89" s="25"/>
      <c r="O89" s="25"/>
      <c r="P89" s="25"/>
      <c r="Q89" s="25"/>
      <c r="R89" s="26"/>
      <c r="S89" s="19"/>
      <c r="T89" s="128"/>
      <c r="U89" s="44"/>
      <c r="V89" s="44"/>
      <c r="W89" s="29"/>
      <c r="X89" s="30"/>
      <c r="Y89" s="31"/>
    </row>
    <row r="90" spans="1:26" ht="12.75" thickBot="1" x14ac:dyDescent="0.25">
      <c r="A90" s="64"/>
      <c r="B90" s="65"/>
      <c r="C90" s="65">
        <v>37</v>
      </c>
      <c r="D90" s="33"/>
      <c r="E90" s="34"/>
      <c r="F90" s="34"/>
      <c r="G90" s="34"/>
      <c r="H90" s="34"/>
      <c r="I90" s="34"/>
      <c r="J90" s="35"/>
      <c r="L90" s="33"/>
      <c r="M90" s="34"/>
      <c r="N90" s="34"/>
      <c r="O90" s="34"/>
      <c r="P90" s="34"/>
      <c r="Q90" s="34"/>
      <c r="R90" s="35"/>
      <c r="S90" s="19"/>
      <c r="T90" s="130"/>
      <c r="U90" s="131"/>
      <c r="V90" s="131"/>
      <c r="W90" s="38"/>
      <c r="X90" s="39"/>
      <c r="Y90" s="40"/>
    </row>
    <row r="91" spans="1:26" x14ac:dyDescent="0.2">
      <c r="A91" s="64"/>
      <c r="B91" s="63" t="s">
        <v>61</v>
      </c>
      <c r="C91" s="63">
        <v>22</v>
      </c>
      <c r="D91" s="14"/>
      <c r="E91" s="15"/>
      <c r="F91" s="15"/>
      <c r="G91" s="15"/>
      <c r="H91" s="15"/>
      <c r="I91" s="15"/>
      <c r="J91" s="16"/>
      <c r="L91" s="14"/>
      <c r="M91" s="15"/>
      <c r="N91" s="15"/>
      <c r="O91" s="15"/>
      <c r="P91" s="15"/>
      <c r="Q91" s="15"/>
      <c r="R91" s="16"/>
      <c r="S91" s="19"/>
      <c r="T91" s="123" t="e">
        <f ca="1">[1]!bdrate($D91:$D94,E91:E94,$L91:$L94,M91:M94)</f>
        <v>#NAME?</v>
      </c>
      <c r="U91" s="124" t="e">
        <f ca="1">[1]!bdrate($D91:$D94,F91:F94,$L91:$L94,N91:N94)</f>
        <v>#NAME?</v>
      </c>
      <c r="V91" s="124" t="e">
        <f ca="1">[1]!bdrate($D91:$D94,G91:G94,$L91:$L94,O91:O94)</f>
        <v>#NAME?</v>
      </c>
      <c r="W91" s="41" t="e">
        <f ca="1">[1]!bdrateOld($D91:$D94,E91:E94,$L91:$L94,M91:M94)</f>
        <v>#NAME?</v>
      </c>
      <c r="X91" s="42" t="e">
        <f ca="1">[1]!bdrateOld($D91:$D94,F91:F94,$L91:$L94,N91:N94)</f>
        <v>#NAME?</v>
      </c>
      <c r="Y91" s="43" t="e">
        <f ca="1">[1]!bdrateOld($D91:$D94,G91:G94,$L91:$L94,O91:O94)</f>
        <v>#NAME?</v>
      </c>
    </row>
    <row r="92" spans="1:26" x14ac:dyDescent="0.2">
      <c r="A92" s="64"/>
      <c r="B92" s="64"/>
      <c r="C92" s="64">
        <v>27</v>
      </c>
      <c r="D92" s="24"/>
      <c r="E92" s="25"/>
      <c r="F92" s="25"/>
      <c r="G92" s="25"/>
      <c r="H92" s="25"/>
      <c r="I92" s="25"/>
      <c r="J92" s="26"/>
      <c r="L92" s="24"/>
      <c r="M92" s="25"/>
      <c r="N92" s="25"/>
      <c r="O92" s="25"/>
      <c r="P92" s="25"/>
      <c r="Q92" s="25"/>
      <c r="R92" s="26"/>
      <c r="S92" s="19"/>
      <c r="T92" s="128"/>
      <c r="U92" s="44"/>
      <c r="V92" s="44"/>
      <c r="W92" s="29"/>
      <c r="X92" s="30"/>
      <c r="Y92" s="31"/>
    </row>
    <row r="93" spans="1:26" x14ac:dyDescent="0.2">
      <c r="A93" s="64"/>
      <c r="B93" s="64"/>
      <c r="C93" s="64">
        <v>32</v>
      </c>
      <c r="D93" s="24"/>
      <c r="E93" s="25"/>
      <c r="F93" s="25"/>
      <c r="G93" s="25"/>
      <c r="H93" s="25"/>
      <c r="I93" s="25"/>
      <c r="J93" s="26"/>
      <c r="L93" s="24"/>
      <c r="M93" s="25"/>
      <c r="N93" s="25"/>
      <c r="O93" s="25"/>
      <c r="P93" s="25"/>
      <c r="Q93" s="25"/>
      <c r="R93" s="26"/>
      <c r="S93" s="19"/>
      <c r="T93" s="128"/>
      <c r="U93" s="44"/>
      <c r="V93" s="44"/>
      <c r="W93" s="29"/>
      <c r="X93" s="30"/>
      <c r="Y93" s="31"/>
    </row>
    <row r="94" spans="1:26" ht="12.75" thickBot="1" x14ac:dyDescent="0.25">
      <c r="A94" s="64"/>
      <c r="B94" s="65"/>
      <c r="C94" s="65">
        <v>37</v>
      </c>
      <c r="D94" s="33"/>
      <c r="E94" s="34"/>
      <c r="F94" s="34"/>
      <c r="G94" s="34"/>
      <c r="H94" s="34"/>
      <c r="I94" s="34"/>
      <c r="J94" s="35"/>
      <c r="L94" s="33"/>
      <c r="M94" s="34"/>
      <c r="N94" s="34"/>
      <c r="O94" s="34"/>
      <c r="P94" s="34"/>
      <c r="Q94" s="34"/>
      <c r="R94" s="35"/>
      <c r="S94" s="19"/>
      <c r="T94" s="130"/>
      <c r="U94" s="131"/>
      <c r="V94" s="131"/>
      <c r="W94" s="38"/>
      <c r="X94" s="39"/>
      <c r="Y94" s="40"/>
    </row>
    <row r="95" spans="1:26" x14ac:dyDescent="0.2">
      <c r="A95" s="64"/>
      <c r="B95" s="63" t="s">
        <v>62</v>
      </c>
      <c r="C95" s="63">
        <v>22</v>
      </c>
      <c r="D95" s="14"/>
      <c r="E95" s="15"/>
      <c r="F95" s="15"/>
      <c r="G95" s="15"/>
      <c r="H95" s="15"/>
      <c r="I95" s="15"/>
      <c r="J95" s="16"/>
      <c r="L95" s="14"/>
      <c r="M95" s="15"/>
      <c r="N95" s="15"/>
      <c r="O95" s="15"/>
      <c r="P95" s="15"/>
      <c r="Q95" s="15"/>
      <c r="R95" s="16"/>
      <c r="S95" s="19"/>
      <c r="T95" s="123" t="e">
        <f ca="1">[1]!bdrate($D95:$D98,E95:E98,$L95:$L98,M95:M98)</f>
        <v>#NAME?</v>
      </c>
      <c r="U95" s="124" t="e">
        <f ca="1">[1]!bdrate($D95:$D98,F95:F98,$L95:$L98,N95:N98)</f>
        <v>#NAME?</v>
      </c>
      <c r="V95" s="124" t="e">
        <f ca="1">[1]!bdrate($D95:$D98,G95:G98,$L95:$L98,O95:O98)</f>
        <v>#NAME?</v>
      </c>
      <c r="W95" s="41" t="e">
        <f ca="1">[1]!bdrateOld($D95:$D98,E95:E98,$L95:$L98,M95:M98)</f>
        <v>#NAME?</v>
      </c>
      <c r="X95" s="42" t="e">
        <f ca="1">[1]!bdrateOld($D95:$D98,F95:F98,$L95:$L98,N95:N98)</f>
        <v>#NAME?</v>
      </c>
      <c r="Y95" s="43" t="e">
        <f ca="1">[1]!bdrateOld($D95:$D98,G95:G98,$L95:$L98,O95:O98)</f>
        <v>#NAME?</v>
      </c>
    </row>
    <row r="96" spans="1:26" x14ac:dyDescent="0.2">
      <c r="A96" s="64"/>
      <c r="B96" s="64"/>
      <c r="C96" s="64">
        <v>27</v>
      </c>
      <c r="D96" s="24"/>
      <c r="E96" s="25"/>
      <c r="F96" s="25"/>
      <c r="G96" s="25"/>
      <c r="H96" s="25"/>
      <c r="I96" s="25"/>
      <c r="J96" s="26"/>
      <c r="L96" s="24"/>
      <c r="M96" s="25"/>
      <c r="N96" s="25"/>
      <c r="O96" s="25"/>
      <c r="P96" s="25"/>
      <c r="Q96" s="25"/>
      <c r="R96" s="26"/>
      <c r="S96" s="19"/>
      <c r="T96" s="128"/>
      <c r="U96" s="44"/>
      <c r="V96" s="44"/>
      <c r="W96" s="29"/>
      <c r="X96" s="30"/>
      <c r="Y96" s="31"/>
    </row>
    <row r="97" spans="1:25" x14ac:dyDescent="0.2">
      <c r="A97" s="64"/>
      <c r="B97" s="64"/>
      <c r="C97" s="64">
        <v>32</v>
      </c>
      <c r="D97" s="24"/>
      <c r="E97" s="25"/>
      <c r="F97" s="25"/>
      <c r="G97" s="25"/>
      <c r="H97" s="25"/>
      <c r="I97" s="25"/>
      <c r="J97" s="26"/>
      <c r="L97" s="24"/>
      <c r="M97" s="25"/>
      <c r="N97" s="25"/>
      <c r="O97" s="25"/>
      <c r="P97" s="25"/>
      <c r="Q97" s="25"/>
      <c r="R97" s="26"/>
      <c r="S97" s="19"/>
      <c r="T97" s="128"/>
      <c r="U97" s="44"/>
      <c r="V97" s="44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/>
      <c r="E98" s="34"/>
      <c r="F98" s="34"/>
      <c r="G98" s="34"/>
      <c r="H98" s="34"/>
      <c r="I98" s="34"/>
      <c r="J98" s="35"/>
      <c r="L98" s="33"/>
      <c r="M98" s="34"/>
      <c r="N98" s="34"/>
      <c r="O98" s="34"/>
      <c r="P98" s="34"/>
      <c r="Q98" s="34"/>
      <c r="R98" s="35"/>
      <c r="S98" s="19"/>
      <c r="T98" s="128"/>
      <c r="U98" s="44"/>
      <c r="V98" s="44"/>
      <c r="W98" s="29"/>
      <c r="X98" s="30"/>
      <c r="Y98" s="31"/>
    </row>
    <row r="99" spans="1:25" x14ac:dyDescent="0.2">
      <c r="B99" s="13" t="s">
        <v>2</v>
      </c>
      <c r="T99" s="123">
        <f t="shared" ref="T99:Y99" si="3">AVERAGE(T3,T7,T11,T15)</f>
        <v>2.9440528511164854E-3</v>
      </c>
      <c r="U99" s="124">
        <f t="shared" si="3"/>
        <v>2.1743893060758801E-2</v>
      </c>
      <c r="V99" s="124">
        <f t="shared" si="3"/>
        <v>2.0233439268845799E-2</v>
      </c>
      <c r="W99" s="20" t="e">
        <f t="shared" ca="1" si="3"/>
        <v>#NAME?</v>
      </c>
      <c r="X99" s="21" t="e">
        <f t="shared" ca="1" si="3"/>
        <v>#NAME?</v>
      </c>
      <c r="Y99" s="22" t="e">
        <f t="shared" ca="1" si="3"/>
        <v>#NAME?</v>
      </c>
    </row>
    <row r="100" spans="1:25" x14ac:dyDescent="0.2">
      <c r="B100" s="23" t="s">
        <v>68</v>
      </c>
      <c r="T100" s="125">
        <f>AVERAGE(T3,T7)</f>
        <v>3.3358902565019388E-3</v>
      </c>
      <c r="U100" s="126">
        <f t="shared" ref="U100:Y100" si="4">AVERAGE(U3,U7)</f>
        <v>1.0584571873093029E-2</v>
      </c>
      <c r="V100" s="126">
        <f t="shared" si="4"/>
        <v>1.1999366073238371E-2</v>
      </c>
      <c r="W100" s="41" t="e">
        <f t="shared" ca="1" si="4"/>
        <v>#NAME?</v>
      </c>
      <c r="X100" s="42" t="e">
        <f t="shared" ca="1" si="4"/>
        <v>#NAME?</v>
      </c>
      <c r="Y100" s="43" t="e">
        <f t="shared" ca="1" si="4"/>
        <v>#NAME?</v>
      </c>
    </row>
    <row r="101" spans="1:25" x14ac:dyDescent="0.2">
      <c r="B101" s="23" t="s">
        <v>7</v>
      </c>
      <c r="T101" s="125">
        <f>AVERAGE(T19,T23,T27,T31,T35)</f>
        <v>2.3015972437397279E-3</v>
      </c>
      <c r="U101" s="126">
        <f t="shared" ref="U101:Y101" si="5">AVERAGE(U19,U23,U27,U31,U35)</f>
        <v>9.7283310623409672E-3</v>
      </c>
      <c r="V101" s="126">
        <f t="shared" si="5"/>
        <v>1.1741249823849342E-2</v>
      </c>
      <c r="W101" s="41" t="e">
        <f t="shared" ca="1" si="5"/>
        <v>#NAME?</v>
      </c>
      <c r="X101" s="42" t="e">
        <f t="shared" ca="1" si="5"/>
        <v>#NAME?</v>
      </c>
      <c r="Y101" s="43" t="e">
        <f t="shared" ca="1" si="5"/>
        <v>#NAME?</v>
      </c>
    </row>
    <row r="102" spans="1:25" x14ac:dyDescent="0.2">
      <c r="B102" s="23" t="s">
        <v>14</v>
      </c>
      <c r="T102" s="125" t="e">
        <f t="shared" ref="T102:Y102" si="6">AVERAGE(T39,T43,T47,T51)</f>
        <v>#VALUE!</v>
      </c>
      <c r="U102" s="126" t="e">
        <f t="shared" si="6"/>
        <v>#VALUE!</v>
      </c>
      <c r="V102" s="126" t="e">
        <f t="shared" si="6"/>
        <v>#VALUE!</v>
      </c>
      <c r="W102" s="41" t="e">
        <f t="shared" ca="1" si="6"/>
        <v>#NAME?</v>
      </c>
      <c r="X102" s="42" t="e">
        <f t="shared" ca="1" si="6"/>
        <v>#NAME?</v>
      </c>
      <c r="Y102" s="43" t="e">
        <f t="shared" ca="1" si="6"/>
        <v>#NAME?</v>
      </c>
    </row>
    <row r="103" spans="1:25" x14ac:dyDescent="0.2">
      <c r="B103" s="23" t="s">
        <v>20</v>
      </c>
      <c r="T103" s="125">
        <f t="shared" ref="T103:Y103" si="7">AVERAGE(T55,T59,T63,T67)</f>
        <v>2.8187047783503338E-3</v>
      </c>
      <c r="U103" s="126">
        <f t="shared" si="7"/>
        <v>3.0780411262649465E-3</v>
      </c>
      <c r="V103" s="126">
        <f t="shared" si="7"/>
        <v>4.6190199588535541E-3</v>
      </c>
      <c r="W103" s="41" t="e">
        <f t="shared" ca="1" si="7"/>
        <v>#NAME?</v>
      </c>
      <c r="X103" s="42" t="e">
        <f t="shared" ca="1" si="7"/>
        <v>#NAME?</v>
      </c>
      <c r="Y103" s="43" t="e">
        <f t="shared" ca="1" si="7"/>
        <v>#NAME?</v>
      </c>
    </row>
    <row r="104" spans="1:25" x14ac:dyDescent="0.2">
      <c r="B104" s="23" t="s">
        <v>27</v>
      </c>
      <c r="T104" s="125">
        <f t="shared" ref="T104:Y104" si="8">AVERAGE(T71,T75,T79)</f>
        <v>5.6325296906992355E-3</v>
      </c>
      <c r="U104" s="126">
        <f t="shared" si="8"/>
        <v>8.8342058979988813E-3</v>
      </c>
      <c r="V104" s="126">
        <f t="shared" si="8"/>
        <v>1.3399011834956287E-2</v>
      </c>
      <c r="W104" s="41" t="e">
        <f t="shared" ca="1" si="8"/>
        <v>#NAME?</v>
      </c>
      <c r="X104" s="42" t="e">
        <f t="shared" ca="1" si="8"/>
        <v>#NAME?</v>
      </c>
      <c r="Y104" s="43" t="e">
        <f t="shared" ca="1" si="8"/>
        <v>#NAME?</v>
      </c>
    </row>
    <row r="105" spans="1:25" ht="12.75" thickBot="1" x14ac:dyDescent="0.25">
      <c r="B105" s="23" t="s">
        <v>63</v>
      </c>
      <c r="T105" s="125" t="e">
        <f t="shared" ref="T105:Y105" ca="1" si="9">AVERAGE(T83,T87,T91,T95)</f>
        <v>#NAME?</v>
      </c>
      <c r="U105" s="126" t="e">
        <f t="shared" ca="1" si="9"/>
        <v>#NAME?</v>
      </c>
      <c r="V105" s="126" t="e">
        <f t="shared" ca="1" si="9"/>
        <v>#NAME?</v>
      </c>
      <c r="W105" s="41" t="e">
        <f t="shared" ca="1" si="9"/>
        <v>#NAME?</v>
      </c>
      <c r="X105" s="42" t="e">
        <f t="shared" ca="1" si="9"/>
        <v>#NAME?</v>
      </c>
      <c r="Y105" s="43" t="e">
        <f t="shared" ca="1" si="9"/>
        <v>#NAME?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134" t="e">
        <f>AVERAGE(T3:T82)</f>
        <v>#VALUE!</v>
      </c>
      <c r="U106" s="135" t="e">
        <f>AVERAGE(U3:U82)</f>
        <v>#VALUE!</v>
      </c>
      <c r="V106" s="136" t="e">
        <f>AVERAGE(V3:V82)</f>
        <v>#VALUE!</v>
      </c>
      <c r="W106" s="46" t="e">
        <f t="shared" ref="W106:Y106" ca="1" si="10">AVERAGE(W3:W98)</f>
        <v>#NAME?</v>
      </c>
      <c r="X106" s="46" t="e">
        <f t="shared" ca="1" si="10"/>
        <v>#NAME?</v>
      </c>
      <c r="Y106" s="47" t="e">
        <f t="shared" ca="1" si="10"/>
        <v>#NAME?</v>
      </c>
    </row>
    <row r="107" spans="1:25" x14ac:dyDescent="0.2">
      <c r="B107" s="13" t="s">
        <v>29</v>
      </c>
      <c r="I107" s="95" t="e">
        <f>GEOMEAN(I3:I98)</f>
        <v>#NUM!</v>
      </c>
      <c r="J107" s="92" t="e">
        <f>GEOMEAN(J3:J98)</f>
        <v>#NUM!</v>
      </c>
      <c r="Q107" s="95" t="e">
        <f>GEOMEAN(Q3:Q98)</f>
        <v>#NUM!</v>
      </c>
      <c r="R107" s="92" t="e">
        <f>GEOMEAN(R3:R98)</f>
        <v>#NUM!</v>
      </c>
      <c r="T107" s="133"/>
    </row>
    <row r="108" spans="1:25" ht="12.75" thickBot="1" x14ac:dyDescent="0.25">
      <c r="B108" s="23" t="s">
        <v>30</v>
      </c>
      <c r="I108" s="96">
        <f>SUM(I3:I98)/3600</f>
        <v>0</v>
      </c>
      <c r="J108" s="94">
        <f>SUM(J3:J98)</f>
        <v>0</v>
      </c>
      <c r="Q108" s="96">
        <f>SUM(Q3:Q98)/3600</f>
        <v>0</v>
      </c>
      <c r="R108" s="94">
        <f>SUM(R3:R98)</f>
        <v>0</v>
      </c>
    </row>
    <row r="109" spans="1:25" ht="12.75" thickBot="1" x14ac:dyDescent="0.25">
      <c r="B109" s="32" t="s">
        <v>98</v>
      </c>
      <c r="T109" s="97" t="e">
        <f>Q107/I107</f>
        <v>#NUM!</v>
      </c>
      <c r="U109" s="98" t="e">
        <f>R107/J107</f>
        <v>#NUM!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 t="e">
        <f t="shared" ref="T112:Y112" si="11">AVERAGE(T3:T10, T19:T98)</f>
        <v>#VALUE!</v>
      </c>
      <c r="U112" s="46" t="e">
        <f t="shared" si="11"/>
        <v>#VALUE!</v>
      </c>
      <c r="V112" s="47" t="e">
        <f t="shared" si="11"/>
        <v>#VALUE!</v>
      </c>
      <c r="W112" s="46" t="e">
        <f t="shared" ca="1" si="11"/>
        <v>#NAME?</v>
      </c>
      <c r="X112" s="46" t="e">
        <f t="shared" ca="1" si="11"/>
        <v>#NAME?</v>
      </c>
      <c r="Y112" s="47" t="e">
        <f t="shared" ca="1" si="11"/>
        <v>#NAME?</v>
      </c>
    </row>
    <row r="113" spans="2:21" x14ac:dyDescent="0.2">
      <c r="B113" s="13" t="s">
        <v>29</v>
      </c>
      <c r="I113" s="95" t="e">
        <f>GEOMEAN(I3:I10, I19:I82)</f>
        <v>#NUM!</v>
      </c>
      <c r="J113" s="92" t="e">
        <f t="shared" ref="J113:R113" si="12">GEOMEAN(J3:J10, J19:J82)</f>
        <v>#NUM!</v>
      </c>
      <c r="Q113" s="95" t="e">
        <f t="shared" si="12"/>
        <v>#NUM!</v>
      </c>
      <c r="R113" s="92" t="e">
        <f t="shared" si="12"/>
        <v>#NUM!</v>
      </c>
    </row>
    <row r="114" spans="2:21" ht="12.75" thickBot="1" x14ac:dyDescent="0.25">
      <c r="B114" s="23" t="s">
        <v>30</v>
      </c>
      <c r="I114" s="96">
        <f>SUM(I3:I10, I19:I82)/3600</f>
        <v>0</v>
      </c>
      <c r="J114" s="94">
        <f>SUM(J3:J10, J19:J82)</f>
        <v>0</v>
      </c>
      <c r="Q114" s="96">
        <f t="shared" ref="Q114" si="13">SUM(Q3:Q10, Q19:Q82)/3600</f>
        <v>0</v>
      </c>
      <c r="R114" s="94">
        <f>SUM(R3:R10, R19:R82)</f>
        <v>0</v>
      </c>
    </row>
    <row r="115" spans="2:21" ht="12.75" thickBot="1" x14ac:dyDescent="0.25">
      <c r="B115" s="32" t="s">
        <v>98</v>
      </c>
      <c r="T115" s="97" t="e">
        <f>Q113/I113</f>
        <v>#NUM!</v>
      </c>
      <c r="U115" s="98" t="e">
        <f>R113/J113</f>
        <v>#NUM!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1" type="noConversion"/>
  <conditionalFormatting sqref="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57" priority="367" operator="greaterThan">
      <formula>0</formula>
    </cfRule>
    <cfRule type="cellIs" dxfId="56" priority="368" stopIfTrue="1" operator="lessThan">
      <formula>0</formula>
    </cfRule>
  </conditionalFormatting>
  <conditionalFormatting sqref="T112:Y112">
    <cfRule type="cellIs" dxfId="55" priority="1" operator="greaterThan">
      <formula>0.03</formula>
    </cfRule>
    <cfRule type="cellIs" dxfId="5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140"/>
  <sheetViews>
    <sheetView zoomScaleNormal="100" workbookViewId="0">
      <pane xSplit="3" ySplit="2" topLeftCell="K9" activePane="bottomRight" state="frozen"/>
      <selection pane="topRight" activeCell="D1" sqref="D1"/>
      <selection pane="bottomLeft" activeCell="A3" sqref="A3"/>
      <selection pane="bottomRight" activeCell="N28" sqref="N28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13" t="s">
        <v>2</v>
      </c>
      <c r="B3" s="13" t="s">
        <v>3</v>
      </c>
      <c r="C3" s="13">
        <v>22</v>
      </c>
      <c r="D3" s="17">
        <v>13223.8352</v>
      </c>
      <c r="E3" s="18">
        <v>41.667299999999997</v>
      </c>
      <c r="F3" s="18">
        <v>41.562199999999997</v>
      </c>
      <c r="G3" s="18">
        <v>44.224499999999999</v>
      </c>
      <c r="H3" s="18">
        <v>12549.65</v>
      </c>
      <c r="I3" s="18">
        <v>24.11</v>
      </c>
      <c r="J3" s="16">
        <f>secToHours(H3)</f>
        <v>3.486013888888889</v>
      </c>
      <c r="L3" s="17">
        <v>13223.8352</v>
      </c>
      <c r="M3" s="18">
        <v>41.667299999999997</v>
      </c>
      <c r="N3" s="18">
        <v>41.562199999999997</v>
      </c>
      <c r="O3" s="18">
        <v>44.224499999999999</v>
      </c>
      <c r="P3" s="18">
        <v>12548.36</v>
      </c>
      <c r="Q3" s="18">
        <v>23.77</v>
      </c>
      <c r="R3" s="16">
        <f>secToHours(P3)</f>
        <v>3.4856555555555557</v>
      </c>
      <c r="S3" s="19"/>
      <c r="T3" s="20">
        <f>[1]!bdrate($D3:$D6,E3:E6,$L3:$L6,M3:M6)</f>
        <v>0</v>
      </c>
      <c r="U3" s="21">
        <f>[1]!bdrate($D3:$D6,F3:F6,$L3:$L6,N3:N6)</f>
        <v>0</v>
      </c>
      <c r="V3" s="22">
        <f>[1]!bdrate($D3:$D6,G3:G6,$L3:$L6,O3:O6)</f>
        <v>0</v>
      </c>
      <c r="W3" s="20">
        <f>[1]!bdrateOld($D3:$D6,E3:E6,$L3:$L6,M3:M6)</f>
        <v>0</v>
      </c>
      <c r="X3" s="21">
        <f>[1]!bdrateOld($D3:$D6,F3:F6,$L3:$L6,N3:N6)</f>
        <v>0</v>
      </c>
      <c r="Y3" s="22">
        <f>[1]!bdrateOld($D3:$D6,G3:G6,$L3:$L6,O3:O6)</f>
        <v>0</v>
      </c>
    </row>
    <row r="4" spans="1:25" x14ac:dyDescent="0.2">
      <c r="A4" s="23" t="s">
        <v>4</v>
      </c>
      <c r="B4" s="23"/>
      <c r="C4" s="23">
        <v>27</v>
      </c>
      <c r="D4" s="27">
        <v>5326.7951999999996</v>
      </c>
      <c r="E4" s="28">
        <v>39.1509</v>
      </c>
      <c r="F4" s="28">
        <v>39.819099999999999</v>
      </c>
      <c r="G4" s="28">
        <v>42.314599999999999</v>
      </c>
      <c r="H4" s="28">
        <v>10223.41</v>
      </c>
      <c r="I4" s="28">
        <v>18.3</v>
      </c>
      <c r="J4" s="26">
        <f t="shared" ref="J4:J67" si="0">secToHours(H4)</f>
        <v>2.839836111111111</v>
      </c>
      <c r="L4" s="27">
        <v>5326.7951999999996</v>
      </c>
      <c r="M4" s="28">
        <v>39.1509</v>
      </c>
      <c r="N4" s="28">
        <v>39.819099999999999</v>
      </c>
      <c r="O4" s="28">
        <v>42.314599999999999</v>
      </c>
      <c r="P4" s="28">
        <v>10253.57</v>
      </c>
      <c r="Q4" s="28">
        <v>18.329999999999998</v>
      </c>
      <c r="R4" s="26">
        <f t="shared" ref="R4:R67" si="1">secToHours(P4)</f>
        <v>2.8482138888888886</v>
      </c>
      <c r="S4" s="19"/>
      <c r="T4" s="29"/>
      <c r="U4" s="30"/>
      <c r="V4" s="31"/>
      <c r="W4" s="29"/>
      <c r="X4" s="30"/>
      <c r="Y4" s="31"/>
    </row>
    <row r="5" spans="1:25" x14ac:dyDescent="0.2">
      <c r="A5" s="23"/>
      <c r="B5" s="23"/>
      <c r="C5" s="23">
        <v>32</v>
      </c>
      <c r="D5" s="27">
        <v>2551.8112000000001</v>
      </c>
      <c r="E5" s="28">
        <v>36.598300000000002</v>
      </c>
      <c r="F5" s="28">
        <v>38.453200000000002</v>
      </c>
      <c r="G5" s="28">
        <v>40.814500000000002</v>
      </c>
      <c r="H5" s="28">
        <v>9149.24</v>
      </c>
      <c r="I5" s="28">
        <v>15.95</v>
      </c>
      <c r="J5" s="26">
        <f t="shared" si="0"/>
        <v>2.5414555555555554</v>
      </c>
      <c r="L5" s="27">
        <v>2551.8112000000001</v>
      </c>
      <c r="M5" s="28">
        <v>36.598300000000002</v>
      </c>
      <c r="N5" s="28">
        <v>38.453200000000002</v>
      </c>
      <c r="O5" s="28">
        <v>40.814500000000002</v>
      </c>
      <c r="P5" s="28">
        <v>9115.6</v>
      </c>
      <c r="Q5" s="28">
        <v>15.95</v>
      </c>
      <c r="R5" s="26">
        <f t="shared" si="1"/>
        <v>2.5321111111111114</v>
      </c>
      <c r="S5" s="19"/>
      <c r="T5" s="29"/>
      <c r="U5" s="30"/>
      <c r="V5" s="31"/>
      <c r="W5" s="29"/>
      <c r="X5" s="30"/>
      <c r="Y5" s="31"/>
    </row>
    <row r="6" spans="1:25" ht="12.75" thickBot="1" x14ac:dyDescent="0.25">
      <c r="A6" s="23"/>
      <c r="B6" s="32"/>
      <c r="C6" s="32">
        <v>37</v>
      </c>
      <c r="D6" s="36">
        <v>1322.8527999999999</v>
      </c>
      <c r="E6" s="37">
        <v>33.938200000000002</v>
      </c>
      <c r="F6" s="37">
        <v>37.407400000000003</v>
      </c>
      <c r="G6" s="37">
        <v>39.720599999999997</v>
      </c>
      <c r="H6" s="37">
        <v>8547.6200000000008</v>
      </c>
      <c r="I6" s="37">
        <v>14.17</v>
      </c>
      <c r="J6" s="35">
        <f t="shared" si="0"/>
        <v>2.374338888888889</v>
      </c>
      <c r="L6" s="36">
        <v>1322.8527999999999</v>
      </c>
      <c r="M6" s="37">
        <v>33.938200000000002</v>
      </c>
      <c r="N6" s="37">
        <v>37.407400000000003</v>
      </c>
      <c r="O6" s="37">
        <v>39.720599999999997</v>
      </c>
      <c r="P6" s="37">
        <v>8546.1200000000008</v>
      </c>
      <c r="Q6" s="37">
        <v>14.08</v>
      </c>
      <c r="R6" s="35">
        <f t="shared" si="1"/>
        <v>2.3739222222222223</v>
      </c>
      <c r="S6" s="19"/>
      <c r="T6" s="38"/>
      <c r="U6" s="39"/>
      <c r="V6" s="40"/>
      <c r="W6" s="38"/>
      <c r="X6" s="39"/>
      <c r="Y6" s="40"/>
    </row>
    <row r="7" spans="1:25" x14ac:dyDescent="0.2">
      <c r="A7" s="23"/>
      <c r="B7" s="13" t="s">
        <v>5</v>
      </c>
      <c r="C7" s="13">
        <v>22</v>
      </c>
      <c r="D7" s="17">
        <v>32829.771200000003</v>
      </c>
      <c r="E7" s="18">
        <v>40.179900000000004</v>
      </c>
      <c r="F7" s="18">
        <v>44.8765</v>
      </c>
      <c r="G7" s="18">
        <v>44.658000000000001</v>
      </c>
      <c r="H7" s="18">
        <v>20312.02</v>
      </c>
      <c r="I7" s="18">
        <v>36.78</v>
      </c>
      <c r="J7" s="16">
        <f t="shared" si="0"/>
        <v>5.6422277777777783</v>
      </c>
      <c r="L7" s="17">
        <v>32829.771200000003</v>
      </c>
      <c r="M7" s="18">
        <v>40.179900000000004</v>
      </c>
      <c r="N7" s="18">
        <v>44.8765</v>
      </c>
      <c r="O7" s="18">
        <v>44.658000000000001</v>
      </c>
      <c r="P7" s="18">
        <v>20199.64</v>
      </c>
      <c r="Q7" s="18">
        <v>37.049999999999997</v>
      </c>
      <c r="R7" s="16">
        <f t="shared" si="1"/>
        <v>5.6110111111111109</v>
      </c>
      <c r="S7" s="19"/>
      <c r="T7" s="20">
        <f>[1]!bdrate($D7:$D10,E7:E10,$L7:$L10,M7:M10)</f>
        <v>0</v>
      </c>
      <c r="U7" s="21">
        <f>[1]!bdrate($D7:$D10,F7:F10,$L7:$L10,N7:N10)</f>
        <v>0</v>
      </c>
      <c r="V7" s="21">
        <f>[1]!bdrate($D7:$D10,G7:G10,$L7:$L10,O7:O10)</f>
        <v>0</v>
      </c>
      <c r="W7" s="41">
        <f>[1]!bdrateOld($D7:$D10,E7:E10,$L7:$L10,M7:M10)</f>
        <v>0</v>
      </c>
      <c r="X7" s="42">
        <f>[1]!bdrateOld($D7:$D10,F7:F10,$L7:$L10,N7:N10)</f>
        <v>0</v>
      </c>
      <c r="Y7" s="43">
        <f>[1]!bdrateOld($D7:$D10,G7:G10,$L7:$L10,O7:O10)</f>
        <v>0</v>
      </c>
    </row>
    <row r="8" spans="1:25" x14ac:dyDescent="0.2">
      <c r="A8" s="23"/>
      <c r="B8" s="23"/>
      <c r="C8" s="23">
        <v>27</v>
      </c>
      <c r="D8" s="27">
        <v>15713.366400000001</v>
      </c>
      <c r="E8" s="28">
        <v>37.1629</v>
      </c>
      <c r="F8" s="28">
        <v>42.949100000000001</v>
      </c>
      <c r="G8" s="28">
        <v>43.278199999999998</v>
      </c>
      <c r="H8" s="28">
        <v>16694.18</v>
      </c>
      <c r="I8" s="28">
        <v>28.67</v>
      </c>
      <c r="J8" s="26">
        <f t="shared" si="0"/>
        <v>4.6372722222222222</v>
      </c>
      <c r="L8" s="27">
        <v>15713.366400000001</v>
      </c>
      <c r="M8" s="28">
        <v>37.1629</v>
      </c>
      <c r="N8" s="28">
        <v>42.949100000000001</v>
      </c>
      <c r="O8" s="28">
        <v>43.278199999999998</v>
      </c>
      <c r="P8" s="28">
        <v>16636.28</v>
      </c>
      <c r="Q8" s="28">
        <v>28.57</v>
      </c>
      <c r="R8" s="26">
        <f t="shared" si="1"/>
        <v>4.6211888888888888</v>
      </c>
      <c r="S8" s="19"/>
      <c r="T8" s="29"/>
      <c r="U8" s="30"/>
      <c r="V8" s="30"/>
      <c r="W8" s="29"/>
      <c r="X8" s="30"/>
      <c r="Y8" s="31"/>
    </row>
    <row r="9" spans="1:25" x14ac:dyDescent="0.2">
      <c r="A9" s="23"/>
      <c r="B9" s="23"/>
      <c r="C9" s="23">
        <v>32</v>
      </c>
      <c r="D9" s="27">
        <v>8245.8304000000007</v>
      </c>
      <c r="E9" s="28">
        <v>34.203899999999997</v>
      </c>
      <c r="F9" s="28">
        <v>41.310499999999998</v>
      </c>
      <c r="G9" s="28">
        <v>41.950299999999999</v>
      </c>
      <c r="H9" s="28">
        <v>14389.36</v>
      </c>
      <c r="I9" s="28">
        <v>23.51</v>
      </c>
      <c r="J9" s="26">
        <f t="shared" si="0"/>
        <v>3.9970444444444446</v>
      </c>
      <c r="L9" s="27">
        <v>8245.8304000000007</v>
      </c>
      <c r="M9" s="28">
        <v>34.203899999999997</v>
      </c>
      <c r="N9" s="28">
        <v>41.310499999999998</v>
      </c>
      <c r="O9" s="28">
        <v>41.950299999999999</v>
      </c>
      <c r="P9" s="28">
        <v>14478.07</v>
      </c>
      <c r="Q9" s="28">
        <v>23.66</v>
      </c>
      <c r="R9" s="26">
        <f t="shared" si="1"/>
        <v>4.0216861111111113</v>
      </c>
      <c r="S9" s="19"/>
      <c r="T9" s="29"/>
      <c r="U9" s="44"/>
      <c r="V9" s="30"/>
      <c r="W9" s="29"/>
      <c r="X9" s="30"/>
      <c r="Y9" s="31"/>
    </row>
    <row r="10" spans="1:25" ht="12.75" thickBot="1" x14ac:dyDescent="0.25">
      <c r="A10" s="23"/>
      <c r="B10" s="32"/>
      <c r="C10" s="32">
        <v>37</v>
      </c>
      <c r="D10" s="36">
        <v>4622.7551999999996</v>
      </c>
      <c r="E10" s="37">
        <v>31.4438</v>
      </c>
      <c r="F10" s="37">
        <v>40.101799999999997</v>
      </c>
      <c r="G10" s="37">
        <v>40.916499999999999</v>
      </c>
      <c r="H10" s="37">
        <v>12767.51</v>
      </c>
      <c r="I10" s="37">
        <v>20.02</v>
      </c>
      <c r="J10" s="35">
        <f t="shared" si="0"/>
        <v>3.5465305555555555</v>
      </c>
      <c r="L10" s="36">
        <v>4622.7551999999996</v>
      </c>
      <c r="M10" s="37">
        <v>31.4438</v>
      </c>
      <c r="N10" s="37">
        <v>40.101799999999997</v>
      </c>
      <c r="O10" s="37">
        <v>40.916499999999999</v>
      </c>
      <c r="P10" s="37">
        <v>12711.05</v>
      </c>
      <c r="Q10" s="37">
        <v>20.46</v>
      </c>
      <c r="R10" s="35">
        <f t="shared" si="1"/>
        <v>3.530847222222222</v>
      </c>
      <c r="S10" s="19"/>
      <c r="T10" s="38"/>
      <c r="U10" s="39"/>
      <c r="V10" s="39"/>
      <c r="W10" s="38"/>
      <c r="X10" s="39"/>
      <c r="Y10" s="40"/>
    </row>
    <row r="11" spans="1:25" x14ac:dyDescent="0.2">
      <c r="A11" s="64"/>
      <c r="B11" s="13" t="s">
        <v>0</v>
      </c>
      <c r="C11" s="13">
        <v>22</v>
      </c>
      <c r="D11" s="17">
        <v>216312.1856</v>
      </c>
      <c r="E11" s="18">
        <v>39.039299999999997</v>
      </c>
      <c r="F11" s="18">
        <v>39.143900000000002</v>
      </c>
      <c r="G11" s="18">
        <v>37.7119</v>
      </c>
      <c r="H11" s="18">
        <v>61758.19</v>
      </c>
      <c r="I11" s="18">
        <v>87.51</v>
      </c>
      <c r="J11" s="16">
        <f t="shared" si="0"/>
        <v>17.155052777777779</v>
      </c>
      <c r="L11" s="17">
        <v>216312.1856</v>
      </c>
      <c r="M11" s="18">
        <v>39.039299999999997</v>
      </c>
      <c r="N11" s="18">
        <v>39.143900000000002</v>
      </c>
      <c r="O11" s="18">
        <v>37.7119</v>
      </c>
      <c r="P11" s="18">
        <v>61593.279999999999</v>
      </c>
      <c r="Q11" s="18">
        <v>86.88</v>
      </c>
      <c r="R11" s="16">
        <f t="shared" si="1"/>
        <v>17.109244444444442</v>
      </c>
      <c r="S11" s="19"/>
      <c r="T11" s="20">
        <f>[1]!bdrate($D11:$D14,E11:E14,$L11:$L14,M11:M14)</f>
        <v>0</v>
      </c>
      <c r="U11" s="21">
        <f>[1]!bdrate($D11:$D14,F11:F14,$L11:$L14,N11:N14)</f>
        <v>0</v>
      </c>
      <c r="V11" s="21">
        <f>[1]!bdrate($D11:$D14,G11:G14,$L11:$L14,O11:O14)</f>
        <v>0</v>
      </c>
      <c r="W11" s="41">
        <f>[1]!bdrateOld($D11:$D14,E11:E14,$L11:$L14,M11:M14)</f>
        <v>0</v>
      </c>
      <c r="X11" s="42">
        <f>[1]!bdrateOld($D11:$D14,F11:F14,$L11:$L14,N11:N14)</f>
        <v>0</v>
      </c>
      <c r="Y11" s="43">
        <f>[1]!bdrateOld($D11:$D14,G11:G14,$L11:$L14,O11:O14)</f>
        <v>0</v>
      </c>
    </row>
    <row r="12" spans="1:25" x14ac:dyDescent="0.2">
      <c r="A12" s="64"/>
      <c r="B12" s="23"/>
      <c r="C12" s="23">
        <v>27</v>
      </c>
      <c r="D12" s="27">
        <v>99614.0144</v>
      </c>
      <c r="E12" s="28">
        <v>33.638500000000001</v>
      </c>
      <c r="F12" s="28">
        <v>37.859200000000001</v>
      </c>
      <c r="G12" s="28">
        <v>36.432400000000001</v>
      </c>
      <c r="H12" s="28">
        <v>50006.92</v>
      </c>
      <c r="I12" s="28">
        <v>76.760000000000005</v>
      </c>
      <c r="J12" s="26">
        <f t="shared" si="0"/>
        <v>13.890811111111111</v>
      </c>
      <c r="L12" s="27">
        <v>99614.0144</v>
      </c>
      <c r="M12" s="28">
        <v>33.638500000000001</v>
      </c>
      <c r="N12" s="28">
        <v>37.859200000000001</v>
      </c>
      <c r="O12" s="28">
        <v>36.432400000000001</v>
      </c>
      <c r="P12" s="28">
        <v>49488.23</v>
      </c>
      <c r="Q12" s="28">
        <v>77.11</v>
      </c>
      <c r="R12" s="26">
        <f t="shared" si="1"/>
        <v>13.746730555555557</v>
      </c>
      <c r="S12" s="19"/>
      <c r="T12" s="29"/>
      <c r="U12" s="30"/>
      <c r="V12" s="30"/>
      <c r="W12" s="29"/>
      <c r="X12" s="30"/>
      <c r="Y12" s="31"/>
    </row>
    <row r="13" spans="1:25" x14ac:dyDescent="0.2">
      <c r="A13" s="64"/>
      <c r="B13" s="23"/>
      <c r="C13" s="23">
        <v>32</v>
      </c>
      <c r="D13" s="27">
        <v>28895.3024</v>
      </c>
      <c r="E13" s="28">
        <v>29.523299999999999</v>
      </c>
      <c r="F13" s="28">
        <v>36.707099999999997</v>
      </c>
      <c r="G13" s="28">
        <v>35.368200000000002</v>
      </c>
      <c r="H13" s="28">
        <v>31353.57</v>
      </c>
      <c r="I13" s="28">
        <v>52.92</v>
      </c>
      <c r="J13" s="26">
        <f t="shared" si="0"/>
        <v>8.7093249999999998</v>
      </c>
      <c r="L13" s="27">
        <v>28895.3024</v>
      </c>
      <c r="M13" s="28">
        <v>29.523299999999999</v>
      </c>
      <c r="N13" s="28">
        <v>36.707099999999997</v>
      </c>
      <c r="O13" s="28">
        <v>35.368200000000002</v>
      </c>
      <c r="P13" s="28">
        <v>31367.25</v>
      </c>
      <c r="Q13" s="28">
        <v>52.26</v>
      </c>
      <c r="R13" s="26">
        <f t="shared" si="1"/>
        <v>8.7131249999999998</v>
      </c>
      <c r="S13" s="19"/>
      <c r="T13" s="29"/>
      <c r="U13" s="44"/>
      <c r="V13" s="30"/>
      <c r="W13" s="29"/>
      <c r="X13" s="30"/>
      <c r="Y13" s="31"/>
    </row>
    <row r="14" spans="1:25" ht="12.75" thickBot="1" x14ac:dyDescent="0.25">
      <c r="A14" s="64"/>
      <c r="B14" s="32"/>
      <c r="C14" s="32">
        <v>37</v>
      </c>
      <c r="D14" s="36">
        <v>7105.0191999999997</v>
      </c>
      <c r="E14" s="37">
        <v>27.910299999999999</v>
      </c>
      <c r="F14" s="37">
        <v>35.782800000000002</v>
      </c>
      <c r="G14" s="37">
        <v>34.5259</v>
      </c>
      <c r="H14" s="37">
        <v>21964.77</v>
      </c>
      <c r="I14" s="37">
        <v>34.75</v>
      </c>
      <c r="J14" s="35">
        <f t="shared" si="0"/>
        <v>6.1013250000000001</v>
      </c>
      <c r="L14" s="36">
        <v>7105.0191999999997</v>
      </c>
      <c r="M14" s="37">
        <v>27.910299999999999</v>
      </c>
      <c r="N14" s="37">
        <v>35.782800000000002</v>
      </c>
      <c r="O14" s="37">
        <v>34.5259</v>
      </c>
      <c r="P14" s="37">
        <v>21962.13</v>
      </c>
      <c r="Q14" s="37">
        <v>34.630000000000003</v>
      </c>
      <c r="R14" s="35">
        <f t="shared" si="1"/>
        <v>6.1005916666666673</v>
      </c>
      <c r="S14" s="19"/>
      <c r="T14" s="38"/>
      <c r="U14" s="39"/>
      <c r="V14" s="39"/>
      <c r="W14" s="38"/>
      <c r="X14" s="39"/>
      <c r="Y14" s="40"/>
    </row>
    <row r="15" spans="1:25" x14ac:dyDescent="0.2">
      <c r="A15" s="64"/>
      <c r="B15" s="13" t="s">
        <v>6</v>
      </c>
      <c r="C15" s="13">
        <v>22</v>
      </c>
      <c r="D15" s="17">
        <v>23524.134399999999</v>
      </c>
      <c r="E15" s="18">
        <v>41.371699999999997</v>
      </c>
      <c r="F15" s="18">
        <v>46.215699999999998</v>
      </c>
      <c r="G15" s="18">
        <v>45.889099999999999</v>
      </c>
      <c r="H15" s="18">
        <v>34832.18</v>
      </c>
      <c r="I15" s="18">
        <v>48.86</v>
      </c>
      <c r="J15" s="16">
        <f t="shared" si="0"/>
        <v>9.6756055555555562</v>
      </c>
      <c r="L15" s="17">
        <v>23524.134399999999</v>
      </c>
      <c r="M15" s="18">
        <v>41.371699999999997</v>
      </c>
      <c r="N15" s="18">
        <v>46.215699999999998</v>
      </c>
      <c r="O15" s="18">
        <v>45.889099999999999</v>
      </c>
      <c r="P15" s="18">
        <v>34777.96</v>
      </c>
      <c r="Q15" s="18">
        <v>47.97</v>
      </c>
      <c r="R15" s="16">
        <f t="shared" si="1"/>
        <v>9.6605444444444437</v>
      </c>
      <c r="S15" s="19"/>
      <c r="T15" s="20">
        <f>[1]!bdrate($D15:$D18,E15:E18,$L15:$L18,M15:M18)</f>
        <v>0</v>
      </c>
      <c r="U15" s="21">
        <f>[1]!bdrate($D15:$D18,F15:F18,$L15:$L18,N15:N18)</f>
        <v>0</v>
      </c>
      <c r="V15" s="21">
        <f>[1]!bdrate($D15:$D18,G15:G18,$L15:$L18,O15:O18)</f>
        <v>0</v>
      </c>
      <c r="W15" s="41">
        <f>[1]!bdrateOld($D15:$D18,E15:E18,$L15:$L18,M15:M18)</f>
        <v>0</v>
      </c>
      <c r="X15" s="42">
        <f>[1]!bdrateOld($D15:$D18,F15:F18,$L15:$L18,N15:N18)</f>
        <v>0</v>
      </c>
      <c r="Y15" s="43">
        <f>[1]!bdrateOld($D15:$D18,G15:G18,$L15:$L18,O15:O18)</f>
        <v>0</v>
      </c>
    </row>
    <row r="16" spans="1:25" x14ac:dyDescent="0.2">
      <c r="A16" s="64"/>
      <c r="B16" s="23"/>
      <c r="C16" s="23">
        <v>27</v>
      </c>
      <c r="D16" s="27">
        <v>5950.6607999999997</v>
      </c>
      <c r="E16" s="28">
        <v>39.9955</v>
      </c>
      <c r="F16" s="28">
        <v>45.494300000000003</v>
      </c>
      <c r="G16" s="28">
        <v>45.3003</v>
      </c>
      <c r="H16" s="28">
        <v>25881.13</v>
      </c>
      <c r="I16" s="28">
        <v>35.68</v>
      </c>
      <c r="J16" s="26">
        <f t="shared" si="0"/>
        <v>7.1892027777777781</v>
      </c>
      <c r="L16" s="27">
        <v>5950.6607999999997</v>
      </c>
      <c r="M16" s="28">
        <v>39.9955</v>
      </c>
      <c r="N16" s="28">
        <v>45.494300000000003</v>
      </c>
      <c r="O16" s="28">
        <v>45.3003</v>
      </c>
      <c r="P16" s="28">
        <v>25979.8</v>
      </c>
      <c r="Q16" s="28">
        <v>34.950000000000003</v>
      </c>
      <c r="R16" s="26">
        <f t="shared" si="1"/>
        <v>7.2166111111111109</v>
      </c>
      <c r="S16" s="19"/>
      <c r="T16" s="29"/>
      <c r="U16" s="30"/>
      <c r="V16" s="30"/>
      <c r="W16" s="29"/>
      <c r="X16" s="30"/>
      <c r="Y16" s="31"/>
    </row>
    <row r="17" spans="1:25" x14ac:dyDescent="0.2">
      <c r="A17" s="64"/>
      <c r="B17" s="23"/>
      <c r="C17" s="23">
        <v>32</v>
      </c>
      <c r="D17" s="27">
        <v>2450.5567999999998</v>
      </c>
      <c r="E17" s="28">
        <v>38.717599999999997</v>
      </c>
      <c r="F17" s="28">
        <v>44.890999999999998</v>
      </c>
      <c r="G17" s="28">
        <v>44.860900000000001</v>
      </c>
      <c r="H17" s="28">
        <v>22352.68</v>
      </c>
      <c r="I17" s="28">
        <v>30.98</v>
      </c>
      <c r="J17" s="26">
        <f t="shared" si="0"/>
        <v>6.2090777777777779</v>
      </c>
      <c r="L17" s="27">
        <v>2450.5567999999998</v>
      </c>
      <c r="M17" s="28">
        <v>38.717599999999997</v>
      </c>
      <c r="N17" s="28">
        <v>44.890999999999998</v>
      </c>
      <c r="O17" s="28">
        <v>44.860900000000001</v>
      </c>
      <c r="P17" s="28">
        <v>22219.83</v>
      </c>
      <c r="Q17" s="28">
        <v>31.26</v>
      </c>
      <c r="R17" s="26">
        <f t="shared" si="1"/>
        <v>6.1721750000000002</v>
      </c>
      <c r="S17" s="19"/>
      <c r="T17" s="29"/>
      <c r="U17" s="44"/>
      <c r="V17" s="30"/>
      <c r="W17" s="29"/>
      <c r="X17" s="30"/>
      <c r="Y17" s="31"/>
    </row>
    <row r="18" spans="1:25" ht="12.75" thickBot="1" x14ac:dyDescent="0.25">
      <c r="A18" s="65"/>
      <c r="B18" s="32"/>
      <c r="C18" s="32">
        <v>37</v>
      </c>
      <c r="D18" s="36">
        <v>1183.7855999999999</v>
      </c>
      <c r="E18" s="37">
        <v>36.994199999999999</v>
      </c>
      <c r="F18" s="37">
        <v>44.4679</v>
      </c>
      <c r="G18" s="37">
        <v>44.538699999999999</v>
      </c>
      <c r="H18" s="37">
        <v>20283.39</v>
      </c>
      <c r="I18" s="37">
        <v>28.33</v>
      </c>
      <c r="J18" s="35">
        <f t="shared" si="0"/>
        <v>5.6342749999999997</v>
      </c>
      <c r="L18" s="36">
        <v>1183.7855999999999</v>
      </c>
      <c r="M18" s="37">
        <v>36.994199999999999</v>
      </c>
      <c r="N18" s="37">
        <v>44.4679</v>
      </c>
      <c r="O18" s="37">
        <v>44.538699999999999</v>
      </c>
      <c r="P18" s="37">
        <v>20249.060000000001</v>
      </c>
      <c r="Q18" s="37">
        <v>28.12</v>
      </c>
      <c r="R18" s="35">
        <f t="shared" si="1"/>
        <v>5.6247388888888894</v>
      </c>
      <c r="S18" s="19"/>
      <c r="T18" s="38"/>
      <c r="U18" s="39"/>
      <c r="V18" s="39"/>
      <c r="W18" s="38"/>
      <c r="X18" s="39"/>
      <c r="Y18" s="40"/>
    </row>
    <row r="19" spans="1:25" x14ac:dyDescent="0.2">
      <c r="A19" s="13" t="s">
        <v>7</v>
      </c>
      <c r="B19" s="13" t="s">
        <v>8</v>
      </c>
      <c r="C19" s="13">
        <v>22</v>
      </c>
      <c r="D19" s="14">
        <v>4787.8743999999997</v>
      </c>
      <c r="E19" s="15">
        <v>41.605200000000004</v>
      </c>
      <c r="F19" s="15">
        <v>43.458300000000001</v>
      </c>
      <c r="G19" s="15">
        <v>45.255400000000002</v>
      </c>
      <c r="H19" s="15">
        <v>12236.59</v>
      </c>
      <c r="I19" s="15">
        <v>20.079999999999998</v>
      </c>
      <c r="J19" s="16">
        <f t="shared" si="0"/>
        <v>3.3990527777777779</v>
      </c>
      <c r="L19" s="14">
        <v>4787.8743999999997</v>
      </c>
      <c r="M19" s="15">
        <v>41.605200000000004</v>
      </c>
      <c r="N19" s="15">
        <v>43.458300000000001</v>
      </c>
      <c r="O19" s="15">
        <v>45.255400000000002</v>
      </c>
      <c r="P19" s="15">
        <v>12254.21</v>
      </c>
      <c r="Q19" s="15">
        <v>20.440000000000001</v>
      </c>
      <c r="R19" s="16">
        <f t="shared" si="1"/>
        <v>3.403947222222222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2187.8319999999999</v>
      </c>
      <c r="E20" s="25">
        <v>39.746699999999997</v>
      </c>
      <c r="F20" s="25">
        <v>42.107900000000001</v>
      </c>
      <c r="G20" s="25">
        <v>43.416899999999998</v>
      </c>
      <c r="H20" s="25">
        <v>10194.549999999999</v>
      </c>
      <c r="I20" s="25">
        <v>16.71</v>
      </c>
      <c r="J20" s="26">
        <f t="shared" si="0"/>
        <v>2.8318194444444442</v>
      </c>
      <c r="L20" s="24">
        <v>2187.8319999999999</v>
      </c>
      <c r="M20" s="25">
        <v>39.746699999999997</v>
      </c>
      <c r="N20" s="25">
        <v>42.107900000000001</v>
      </c>
      <c r="O20" s="25">
        <v>43.416899999999998</v>
      </c>
      <c r="P20" s="25">
        <v>10193.99</v>
      </c>
      <c r="Q20" s="25">
        <v>16.47</v>
      </c>
      <c r="R20" s="26">
        <f t="shared" si="1"/>
        <v>2.831663888888889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1068.8416</v>
      </c>
      <c r="E21" s="25">
        <v>37.450800000000001</v>
      </c>
      <c r="F21" s="25">
        <v>40.901299999999999</v>
      </c>
      <c r="G21" s="25">
        <v>42.058700000000002</v>
      </c>
      <c r="H21" s="25">
        <v>8943.69</v>
      </c>
      <c r="I21" s="25">
        <v>14.81</v>
      </c>
      <c r="J21" s="26">
        <f t="shared" si="0"/>
        <v>2.4843583333333337</v>
      </c>
      <c r="L21" s="24">
        <v>1068.8416</v>
      </c>
      <c r="M21" s="25">
        <v>37.450800000000001</v>
      </c>
      <c r="N21" s="25">
        <v>40.901299999999999</v>
      </c>
      <c r="O21" s="25">
        <v>42.058700000000002</v>
      </c>
      <c r="P21" s="25">
        <v>8863.85</v>
      </c>
      <c r="Q21" s="25">
        <v>14.52</v>
      </c>
      <c r="R21" s="26">
        <f t="shared" si="1"/>
        <v>2.4621805555555558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543.37919999999997</v>
      </c>
      <c r="E22" s="34">
        <v>35.067399999999999</v>
      </c>
      <c r="F22" s="34">
        <v>40.066099999999999</v>
      </c>
      <c r="G22" s="34">
        <v>41.2605</v>
      </c>
      <c r="H22" s="34">
        <v>8004.8</v>
      </c>
      <c r="I22" s="34">
        <v>12.96</v>
      </c>
      <c r="J22" s="35">
        <f t="shared" si="0"/>
        <v>2.2235555555555555</v>
      </c>
      <c r="L22" s="33">
        <v>543.37919999999997</v>
      </c>
      <c r="M22" s="34">
        <v>35.067399999999999</v>
      </c>
      <c r="N22" s="34">
        <v>40.066099999999999</v>
      </c>
      <c r="O22" s="34">
        <v>41.2605</v>
      </c>
      <c r="P22" s="34">
        <v>8023.03</v>
      </c>
      <c r="Q22" s="34">
        <v>13.01</v>
      </c>
      <c r="R22" s="35">
        <f t="shared" si="1"/>
        <v>2.2286194444444445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7679.6207999999997</v>
      </c>
      <c r="E23" s="15">
        <v>40.0685</v>
      </c>
      <c r="F23" s="15">
        <v>42.383000000000003</v>
      </c>
      <c r="G23" s="15">
        <v>43.787100000000002</v>
      </c>
      <c r="H23" s="15">
        <v>10998.53</v>
      </c>
      <c r="I23" s="15">
        <v>22.32</v>
      </c>
      <c r="J23" s="16">
        <f t="shared" si="0"/>
        <v>3.0551472222222222</v>
      </c>
      <c r="L23" s="14">
        <v>7679.6207999999997</v>
      </c>
      <c r="M23" s="15">
        <v>40.0685</v>
      </c>
      <c r="N23" s="15">
        <v>42.383000000000003</v>
      </c>
      <c r="O23" s="15">
        <v>43.787100000000002</v>
      </c>
      <c r="P23" s="15">
        <v>11124.19</v>
      </c>
      <c r="Q23" s="15">
        <v>22.1</v>
      </c>
      <c r="R23" s="16">
        <f t="shared" si="1"/>
        <v>3.0900527777777778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3335.7815999999998</v>
      </c>
      <c r="E24" s="25">
        <v>37.547699999999999</v>
      </c>
      <c r="F24" s="25">
        <v>40.503</v>
      </c>
      <c r="G24" s="25">
        <v>41.544800000000002</v>
      </c>
      <c r="H24" s="25">
        <v>9018.11</v>
      </c>
      <c r="I24" s="25">
        <v>16.989999999999998</v>
      </c>
      <c r="J24" s="26">
        <f t="shared" si="0"/>
        <v>2.5050305555555559</v>
      </c>
      <c r="L24" s="24">
        <v>3335.7815999999998</v>
      </c>
      <c r="M24" s="25">
        <v>37.547699999999999</v>
      </c>
      <c r="N24" s="25">
        <v>40.503</v>
      </c>
      <c r="O24" s="25">
        <v>41.544800000000002</v>
      </c>
      <c r="P24" s="25">
        <v>8911.75</v>
      </c>
      <c r="Q24" s="25">
        <v>17.43</v>
      </c>
      <c r="R24" s="26">
        <f t="shared" si="1"/>
        <v>2.4754861111111111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1538.0696</v>
      </c>
      <c r="E25" s="25">
        <v>34.946899999999999</v>
      </c>
      <c r="F25" s="25">
        <v>38.893000000000001</v>
      </c>
      <c r="G25" s="25">
        <v>39.995600000000003</v>
      </c>
      <c r="H25" s="25">
        <v>7901.46</v>
      </c>
      <c r="I25" s="25">
        <v>14.68</v>
      </c>
      <c r="J25" s="26">
        <f t="shared" si="0"/>
        <v>2.1948500000000002</v>
      </c>
      <c r="L25" s="24">
        <v>1538.0696</v>
      </c>
      <c r="M25" s="25">
        <v>34.946899999999999</v>
      </c>
      <c r="N25" s="25">
        <v>38.893000000000001</v>
      </c>
      <c r="O25" s="25">
        <v>39.995600000000003</v>
      </c>
      <c r="P25" s="25">
        <v>7841.21</v>
      </c>
      <c r="Q25" s="25">
        <v>14.61</v>
      </c>
      <c r="R25" s="26">
        <f t="shared" si="1"/>
        <v>2.1781138888888889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717.89760000000001</v>
      </c>
      <c r="E26" s="34">
        <v>32.4407</v>
      </c>
      <c r="F26" s="34">
        <v>37.7149</v>
      </c>
      <c r="G26" s="34">
        <v>39.0871</v>
      </c>
      <c r="H26" s="34">
        <v>7323.76</v>
      </c>
      <c r="I26" s="34">
        <v>12.72</v>
      </c>
      <c r="J26" s="35">
        <f t="shared" si="0"/>
        <v>2.0343777777777778</v>
      </c>
      <c r="L26" s="33">
        <v>717.89760000000001</v>
      </c>
      <c r="M26" s="34">
        <v>32.4407</v>
      </c>
      <c r="N26" s="34">
        <v>37.7149</v>
      </c>
      <c r="O26" s="34">
        <v>39.0871</v>
      </c>
      <c r="P26" s="34">
        <v>7227.9</v>
      </c>
      <c r="Q26" s="34">
        <v>12.66</v>
      </c>
      <c r="R26" s="35">
        <f t="shared" si="1"/>
        <v>2.0077499999999997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18423.596799999999</v>
      </c>
      <c r="E27" s="15">
        <v>38.482300000000002</v>
      </c>
      <c r="F27" s="15">
        <v>40.037599999999998</v>
      </c>
      <c r="G27" s="15">
        <v>43.602800000000002</v>
      </c>
      <c r="H27" s="15">
        <v>26959.23</v>
      </c>
      <c r="I27" s="15">
        <v>46.27</v>
      </c>
      <c r="J27" s="16">
        <f t="shared" si="0"/>
        <v>7.4886749999999997</v>
      </c>
      <c r="L27" s="14">
        <v>18423.596799999999</v>
      </c>
      <c r="M27" s="15">
        <v>38.482300000000002</v>
      </c>
      <c r="N27" s="15">
        <v>40.037599999999998</v>
      </c>
      <c r="O27" s="15">
        <v>43.602800000000002</v>
      </c>
      <c r="P27" s="15">
        <v>26754.98</v>
      </c>
      <c r="Q27" s="15">
        <v>45.49</v>
      </c>
      <c r="R27" s="16">
        <f t="shared" si="1"/>
        <v>7.4319388888888884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5733.2479999999996</v>
      </c>
      <c r="E28" s="25">
        <v>36.852600000000002</v>
      </c>
      <c r="F28" s="25">
        <v>39.076000000000001</v>
      </c>
      <c r="G28" s="25">
        <v>41.892099999999999</v>
      </c>
      <c r="H28" s="25">
        <v>20309.169999999998</v>
      </c>
      <c r="I28" s="25">
        <v>31.75</v>
      </c>
      <c r="J28" s="26">
        <f t="shared" si="0"/>
        <v>5.6414361111111102</v>
      </c>
      <c r="L28" s="24">
        <v>5733.2479999999996</v>
      </c>
      <c r="M28" s="25">
        <v>36.852600000000002</v>
      </c>
      <c r="N28" s="25">
        <v>39.076000000000001</v>
      </c>
      <c r="O28" s="25">
        <v>41.892099999999999</v>
      </c>
      <c r="P28" s="25">
        <v>20315.23</v>
      </c>
      <c r="Q28" s="25">
        <v>32.07</v>
      </c>
      <c r="R28" s="26">
        <f t="shared" si="1"/>
        <v>5.6431194444444444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2672.64</v>
      </c>
      <c r="E29" s="25">
        <v>34.950600000000001</v>
      </c>
      <c r="F29" s="25">
        <v>38.236699999999999</v>
      </c>
      <c r="G29" s="25">
        <v>40.335900000000002</v>
      </c>
      <c r="H29" s="25">
        <v>17660.45</v>
      </c>
      <c r="I29" s="25">
        <v>27.11</v>
      </c>
      <c r="J29" s="26">
        <f t="shared" si="0"/>
        <v>4.9056805555555556</v>
      </c>
      <c r="L29" s="24">
        <v>2672.64</v>
      </c>
      <c r="M29" s="25">
        <v>34.950600000000001</v>
      </c>
      <c r="N29" s="25">
        <v>38.236699999999999</v>
      </c>
      <c r="O29" s="25">
        <v>40.335900000000002</v>
      </c>
      <c r="P29" s="25">
        <v>17684.169999999998</v>
      </c>
      <c r="Q29" s="25">
        <v>27.12</v>
      </c>
      <c r="R29" s="26">
        <f t="shared" si="1"/>
        <v>4.9122694444444441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1370.5663999999999</v>
      </c>
      <c r="E30" s="34">
        <v>32.770899999999997</v>
      </c>
      <c r="F30" s="34">
        <v>37.546199999999999</v>
      </c>
      <c r="G30" s="34">
        <v>39.17</v>
      </c>
      <c r="H30" s="34">
        <v>16143.96</v>
      </c>
      <c r="I30" s="34">
        <v>24.64</v>
      </c>
      <c r="J30" s="35">
        <f t="shared" si="0"/>
        <v>4.4844333333333335</v>
      </c>
      <c r="L30" s="33">
        <v>1370.5663999999999</v>
      </c>
      <c r="M30" s="34">
        <v>32.770899999999997</v>
      </c>
      <c r="N30" s="34">
        <v>37.546199999999999</v>
      </c>
      <c r="O30" s="34">
        <v>39.17</v>
      </c>
      <c r="P30" s="34">
        <v>16128.39</v>
      </c>
      <c r="Q30" s="34">
        <v>24.64</v>
      </c>
      <c r="R30" s="35">
        <f t="shared" si="1"/>
        <v>4.4801083333333329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17365.6512</v>
      </c>
      <c r="E31" s="15">
        <v>39.158799999999999</v>
      </c>
      <c r="F31" s="15">
        <v>43.764099999999999</v>
      </c>
      <c r="G31" s="15">
        <v>44.97</v>
      </c>
      <c r="H31" s="15">
        <v>31313.21</v>
      </c>
      <c r="I31" s="15">
        <v>49.18</v>
      </c>
      <c r="J31" s="16">
        <f t="shared" si="0"/>
        <v>8.6981138888888889</v>
      </c>
      <c r="L31" s="14">
        <v>17365.6512</v>
      </c>
      <c r="M31" s="15">
        <v>39.158799999999999</v>
      </c>
      <c r="N31" s="15">
        <v>43.764099999999999</v>
      </c>
      <c r="O31" s="15">
        <v>44.97</v>
      </c>
      <c r="P31" s="15">
        <v>31010.28</v>
      </c>
      <c r="Q31" s="15">
        <v>48.63</v>
      </c>
      <c r="R31" s="16">
        <f t="shared" si="1"/>
        <v>8.6139666666666663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6018.5312000000004</v>
      </c>
      <c r="E32" s="25">
        <v>37.4773</v>
      </c>
      <c r="F32" s="25">
        <v>42.518599999999999</v>
      </c>
      <c r="G32" s="25">
        <v>43.020600000000002</v>
      </c>
      <c r="H32" s="25">
        <v>24779.79</v>
      </c>
      <c r="I32" s="25">
        <v>37.21</v>
      </c>
      <c r="J32" s="26">
        <f t="shared" si="0"/>
        <v>6.8832750000000003</v>
      </c>
      <c r="L32" s="24">
        <v>6018.5312000000004</v>
      </c>
      <c r="M32" s="25">
        <v>37.4773</v>
      </c>
      <c r="N32" s="25">
        <v>42.518599999999999</v>
      </c>
      <c r="O32" s="25">
        <v>43.020600000000002</v>
      </c>
      <c r="P32" s="25">
        <v>24796.19</v>
      </c>
      <c r="Q32" s="25">
        <v>36.520000000000003</v>
      </c>
      <c r="R32" s="26">
        <f t="shared" si="1"/>
        <v>6.8878305555555555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2809.9423999999999</v>
      </c>
      <c r="E33" s="25">
        <v>35.630800000000001</v>
      </c>
      <c r="F33" s="25">
        <v>41.272300000000001</v>
      </c>
      <c r="G33" s="25">
        <v>41.173200000000001</v>
      </c>
      <c r="H33" s="25">
        <v>21501.96</v>
      </c>
      <c r="I33" s="25">
        <v>31.53</v>
      </c>
      <c r="J33" s="26">
        <f t="shared" si="0"/>
        <v>5.9727666666666668</v>
      </c>
      <c r="L33" s="24">
        <v>2809.9423999999999</v>
      </c>
      <c r="M33" s="25">
        <v>35.630800000000001</v>
      </c>
      <c r="N33" s="25">
        <v>41.272300000000001</v>
      </c>
      <c r="O33" s="25">
        <v>41.173200000000001</v>
      </c>
      <c r="P33" s="25">
        <v>21429.62</v>
      </c>
      <c r="Q33" s="25">
        <v>31.64</v>
      </c>
      <c r="R33" s="26">
        <f t="shared" si="1"/>
        <v>5.9526722222222217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1476.9079999999999</v>
      </c>
      <c r="E34" s="34">
        <v>33.643500000000003</v>
      </c>
      <c r="F34" s="34">
        <v>40.329099999999997</v>
      </c>
      <c r="G34" s="34">
        <v>39.904499999999999</v>
      </c>
      <c r="H34" s="34">
        <v>19235.47</v>
      </c>
      <c r="I34" s="34">
        <v>28.24</v>
      </c>
      <c r="J34" s="35">
        <f t="shared" si="0"/>
        <v>5.3431861111111116</v>
      </c>
      <c r="L34" s="33">
        <v>1476.9079999999999</v>
      </c>
      <c r="M34" s="34">
        <v>33.643500000000003</v>
      </c>
      <c r="N34" s="34">
        <v>40.329099999999997</v>
      </c>
      <c r="O34" s="34">
        <v>39.904499999999999</v>
      </c>
      <c r="P34" s="34">
        <v>19146.21</v>
      </c>
      <c r="Q34" s="34">
        <v>28.49</v>
      </c>
      <c r="R34" s="35">
        <f t="shared" si="1"/>
        <v>5.3183916666666669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39640.118399999999</v>
      </c>
      <c r="E35" s="15">
        <v>37.441200000000002</v>
      </c>
      <c r="F35" s="15">
        <v>42.113399999999999</v>
      </c>
      <c r="G35" s="15">
        <v>44.292200000000001</v>
      </c>
      <c r="H35" s="15">
        <v>36315.67</v>
      </c>
      <c r="I35" s="15">
        <v>74.52</v>
      </c>
      <c r="J35" s="16">
        <f t="shared" si="0"/>
        <v>10.087686111111111</v>
      </c>
      <c r="L35" s="14">
        <v>39640.118399999999</v>
      </c>
      <c r="M35" s="15">
        <v>37.441200000000002</v>
      </c>
      <c r="N35" s="15">
        <v>42.113399999999999</v>
      </c>
      <c r="O35" s="15">
        <v>44.292200000000001</v>
      </c>
      <c r="P35" s="15">
        <v>36257.22</v>
      </c>
      <c r="Q35" s="15">
        <v>72.69</v>
      </c>
      <c r="R35" s="16">
        <f t="shared" si="1"/>
        <v>10.07145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7374.9751999999999</v>
      </c>
      <c r="E36" s="25">
        <v>35.308399999999999</v>
      </c>
      <c r="F36" s="25">
        <v>40.813800000000001</v>
      </c>
      <c r="G36" s="25">
        <v>43.1509</v>
      </c>
      <c r="H36" s="25">
        <v>22964.57</v>
      </c>
      <c r="I36" s="25">
        <v>41.3</v>
      </c>
      <c r="J36" s="26">
        <f t="shared" si="0"/>
        <v>6.3790472222222219</v>
      </c>
      <c r="L36" s="24">
        <v>7374.9751999999999</v>
      </c>
      <c r="M36" s="25">
        <v>35.308399999999999</v>
      </c>
      <c r="N36" s="25">
        <v>40.813800000000001</v>
      </c>
      <c r="O36" s="25">
        <v>43.1509</v>
      </c>
      <c r="P36" s="25">
        <v>22944.74</v>
      </c>
      <c r="Q36" s="25">
        <v>41.24</v>
      </c>
      <c r="R36" s="26">
        <f t="shared" si="1"/>
        <v>6.3735388888888895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2266.0639999999999</v>
      </c>
      <c r="E37" s="25">
        <v>33.855200000000004</v>
      </c>
      <c r="F37" s="25">
        <v>39.61</v>
      </c>
      <c r="G37" s="25">
        <v>42.106699999999996</v>
      </c>
      <c r="H37" s="25">
        <v>19501.189999999999</v>
      </c>
      <c r="I37" s="25">
        <v>32.65</v>
      </c>
      <c r="J37" s="26">
        <f t="shared" si="0"/>
        <v>5.4169972222222222</v>
      </c>
      <c r="L37" s="24">
        <v>2266.0639999999999</v>
      </c>
      <c r="M37" s="25">
        <v>33.855200000000004</v>
      </c>
      <c r="N37" s="25">
        <v>39.61</v>
      </c>
      <c r="O37" s="25">
        <v>42.106699999999996</v>
      </c>
      <c r="P37" s="25">
        <v>19329.990000000002</v>
      </c>
      <c r="Q37" s="25">
        <v>32.21</v>
      </c>
      <c r="R37" s="26">
        <f t="shared" si="1"/>
        <v>5.3694416666666669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970.38319999999999</v>
      </c>
      <c r="E38" s="34">
        <v>31.985800000000001</v>
      </c>
      <c r="F38" s="34">
        <v>38.684699999999999</v>
      </c>
      <c r="G38" s="34">
        <v>41.292499999999997</v>
      </c>
      <c r="H38" s="34">
        <v>18100.23</v>
      </c>
      <c r="I38" s="34">
        <v>29.4</v>
      </c>
      <c r="J38" s="35">
        <f t="shared" si="0"/>
        <v>5.0278416666666663</v>
      </c>
      <c r="L38" s="33">
        <v>970.38319999999999</v>
      </c>
      <c r="M38" s="34">
        <v>31.985800000000001</v>
      </c>
      <c r="N38" s="34">
        <v>38.684699999999999</v>
      </c>
      <c r="O38" s="34">
        <v>41.292499999999997</v>
      </c>
      <c r="P38" s="34">
        <v>17953.53</v>
      </c>
      <c r="Q38" s="34">
        <v>29.29</v>
      </c>
      <c r="R38" s="35">
        <f t="shared" si="1"/>
        <v>4.9870916666666663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3453.0520000000001</v>
      </c>
      <c r="E39" s="15">
        <v>40.451300000000003</v>
      </c>
      <c r="F39" s="15">
        <v>43.031999999999996</v>
      </c>
      <c r="G39" s="15">
        <v>43.595599999999997</v>
      </c>
      <c r="H39" s="15">
        <v>5690.43</v>
      </c>
      <c r="I39" s="15">
        <v>9.34</v>
      </c>
      <c r="J39" s="16">
        <f t="shared" si="0"/>
        <v>1.5806750000000001</v>
      </c>
      <c r="L39" s="14">
        <v>3453.0520000000001</v>
      </c>
      <c r="M39" s="15">
        <v>40.451300000000003</v>
      </c>
      <c r="N39" s="15">
        <v>43.031999999999996</v>
      </c>
      <c r="O39" s="15">
        <v>43.595599999999997</v>
      </c>
      <c r="P39" s="15">
        <v>5650.14</v>
      </c>
      <c r="Q39" s="15">
        <v>9.42</v>
      </c>
      <c r="R39" s="16">
        <f t="shared" si="1"/>
        <v>1.5694833333333333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1662.9344000000001</v>
      </c>
      <c r="E40" s="25">
        <v>37.3536</v>
      </c>
      <c r="F40" s="25">
        <v>40.683100000000003</v>
      </c>
      <c r="G40" s="25">
        <v>40.880499999999998</v>
      </c>
      <c r="H40" s="25">
        <v>4739.12</v>
      </c>
      <c r="I40" s="25">
        <v>7.48</v>
      </c>
      <c r="J40" s="26">
        <f t="shared" si="0"/>
        <v>1.3164222222222222</v>
      </c>
      <c r="L40" s="24">
        <v>1662.9344000000001</v>
      </c>
      <c r="M40" s="25">
        <v>37.3536</v>
      </c>
      <c r="N40" s="25">
        <v>40.683100000000003</v>
      </c>
      <c r="O40" s="25">
        <v>40.880499999999998</v>
      </c>
      <c r="P40" s="25">
        <v>4745.38</v>
      </c>
      <c r="Q40" s="25">
        <v>7.58</v>
      </c>
      <c r="R40" s="26">
        <f t="shared" si="1"/>
        <v>1.3181611111111111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814.53840000000002</v>
      </c>
      <c r="E41" s="25">
        <v>34.425400000000003</v>
      </c>
      <c r="F41" s="25">
        <v>38.6098</v>
      </c>
      <c r="G41" s="25">
        <v>38.5762</v>
      </c>
      <c r="H41" s="25">
        <v>4024.18</v>
      </c>
      <c r="I41" s="25">
        <v>6.24</v>
      </c>
      <c r="J41" s="26">
        <f t="shared" si="0"/>
        <v>1.1178277777777776</v>
      </c>
      <c r="L41" s="24">
        <v>814.53840000000002</v>
      </c>
      <c r="M41" s="25">
        <v>34.425400000000003</v>
      </c>
      <c r="N41" s="25">
        <v>38.6098</v>
      </c>
      <c r="O41" s="25">
        <v>38.5762</v>
      </c>
      <c r="P41" s="25">
        <v>4016.22</v>
      </c>
      <c r="Q41" s="25">
        <v>6.16</v>
      </c>
      <c r="R41" s="26">
        <f t="shared" si="1"/>
        <v>1.1156166666666667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431.28320000000002</v>
      </c>
      <c r="E42" s="34">
        <v>31.9238</v>
      </c>
      <c r="F42" s="34">
        <v>37.151299999999999</v>
      </c>
      <c r="G42" s="34">
        <v>36.974200000000003</v>
      </c>
      <c r="H42" s="34">
        <v>3560.92</v>
      </c>
      <c r="I42" s="34">
        <v>5.4</v>
      </c>
      <c r="J42" s="35">
        <f t="shared" si="0"/>
        <v>0.98914444444444449</v>
      </c>
      <c r="L42" s="33">
        <v>431.28320000000002</v>
      </c>
      <c r="M42" s="34">
        <v>31.9238</v>
      </c>
      <c r="N42" s="34">
        <v>37.151299999999999</v>
      </c>
      <c r="O42" s="34">
        <v>36.974200000000003</v>
      </c>
      <c r="P42" s="34">
        <v>3544.08</v>
      </c>
      <c r="Q42" s="34">
        <v>5.37</v>
      </c>
      <c r="R42" s="35">
        <f t="shared" si="1"/>
        <v>0.9844666666666666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3645.1448</v>
      </c>
      <c r="E43" s="15">
        <v>40.201700000000002</v>
      </c>
      <c r="F43" s="15">
        <v>43.525300000000001</v>
      </c>
      <c r="G43" s="15">
        <v>45.031599999999997</v>
      </c>
      <c r="H43" s="15">
        <v>5983.89</v>
      </c>
      <c r="I43" s="15">
        <v>10.35</v>
      </c>
      <c r="J43" s="16">
        <f t="shared" si="0"/>
        <v>1.6621916666666667</v>
      </c>
      <c r="L43" s="14">
        <v>3645.1448</v>
      </c>
      <c r="M43" s="15">
        <v>40.201700000000002</v>
      </c>
      <c r="N43" s="15">
        <v>43.525300000000001</v>
      </c>
      <c r="O43" s="15">
        <v>45.031599999999997</v>
      </c>
      <c r="P43" s="15">
        <v>5976.16</v>
      </c>
      <c r="Q43" s="15">
        <v>10.41</v>
      </c>
      <c r="R43" s="16">
        <f t="shared" si="1"/>
        <v>1.6600444444444444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1703.3728000000001</v>
      </c>
      <c r="E44" s="25">
        <v>37.674500000000002</v>
      </c>
      <c r="F44" s="25">
        <v>41.603400000000001</v>
      </c>
      <c r="G44" s="25">
        <v>42.753399999999999</v>
      </c>
      <c r="H44" s="25">
        <v>5022.18</v>
      </c>
      <c r="I44" s="25">
        <v>8.2799999999999994</v>
      </c>
      <c r="J44" s="26">
        <f t="shared" si="0"/>
        <v>1.3950500000000001</v>
      </c>
      <c r="L44" s="24">
        <v>1703.3728000000001</v>
      </c>
      <c r="M44" s="25">
        <v>37.674500000000002</v>
      </c>
      <c r="N44" s="25">
        <v>41.603400000000001</v>
      </c>
      <c r="O44" s="25">
        <v>42.753399999999999</v>
      </c>
      <c r="P44" s="25">
        <v>4998.22</v>
      </c>
      <c r="Q44" s="25">
        <v>8.33</v>
      </c>
      <c r="R44" s="26">
        <f t="shared" si="1"/>
        <v>1.3883944444444445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853.33680000000004</v>
      </c>
      <c r="E45" s="25">
        <v>34.917200000000001</v>
      </c>
      <c r="F45" s="25">
        <v>39.934800000000003</v>
      </c>
      <c r="G45" s="25">
        <v>40.841200000000001</v>
      </c>
      <c r="H45" s="25">
        <v>4403.28</v>
      </c>
      <c r="I45" s="25">
        <v>7.05</v>
      </c>
      <c r="J45" s="26">
        <f t="shared" si="0"/>
        <v>1.2231333333333332</v>
      </c>
      <c r="L45" s="24">
        <v>853.33680000000004</v>
      </c>
      <c r="M45" s="25">
        <v>34.917200000000001</v>
      </c>
      <c r="N45" s="25">
        <v>39.934800000000003</v>
      </c>
      <c r="O45" s="25">
        <v>40.841200000000001</v>
      </c>
      <c r="P45" s="25">
        <v>4382.21</v>
      </c>
      <c r="Q45" s="25">
        <v>7.15</v>
      </c>
      <c r="R45" s="26">
        <f t="shared" si="1"/>
        <v>1.2172805555555555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450.01600000000002</v>
      </c>
      <c r="E46" s="34">
        <v>32.167099999999998</v>
      </c>
      <c r="F46" s="34">
        <v>38.648299999999999</v>
      </c>
      <c r="G46" s="34">
        <v>39.451500000000003</v>
      </c>
      <c r="H46" s="34">
        <v>4003.54</v>
      </c>
      <c r="I46" s="34">
        <v>6.25</v>
      </c>
      <c r="J46" s="35">
        <f t="shared" si="0"/>
        <v>1.1120944444444445</v>
      </c>
      <c r="L46" s="33">
        <v>450.01600000000002</v>
      </c>
      <c r="M46" s="34">
        <v>32.167099999999998</v>
      </c>
      <c r="N46" s="34">
        <v>38.648299999999999</v>
      </c>
      <c r="O46" s="34">
        <v>39.451500000000003</v>
      </c>
      <c r="P46" s="34">
        <v>3992.53</v>
      </c>
      <c r="Q46" s="34">
        <v>6.1</v>
      </c>
      <c r="R46" s="35">
        <f t="shared" si="1"/>
        <v>1.1090361111111111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6831.1527999999998</v>
      </c>
      <c r="E47" s="15">
        <v>38.289499999999997</v>
      </c>
      <c r="F47" s="15">
        <v>41.4054</v>
      </c>
      <c r="G47" s="15">
        <v>42.4495</v>
      </c>
      <c r="H47" s="15">
        <v>6078.19</v>
      </c>
      <c r="I47" s="15">
        <v>11.78</v>
      </c>
      <c r="J47" s="16">
        <f t="shared" si="0"/>
        <v>1.6883861111111109</v>
      </c>
      <c r="L47" s="14">
        <v>6831.1527999999998</v>
      </c>
      <c r="M47" s="15">
        <v>38.289499999999997</v>
      </c>
      <c r="N47" s="15">
        <v>41.4054</v>
      </c>
      <c r="O47" s="15">
        <v>42.4495</v>
      </c>
      <c r="P47" s="15">
        <v>6102.17</v>
      </c>
      <c r="Q47" s="15">
        <v>11.75</v>
      </c>
      <c r="R47" s="16">
        <f t="shared" si="1"/>
        <v>1.6950472222222221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3111.2296000000001</v>
      </c>
      <c r="E48" s="25">
        <v>34.750300000000003</v>
      </c>
      <c r="F48" s="25">
        <v>38.885199999999998</v>
      </c>
      <c r="G48" s="25">
        <v>39.806100000000001</v>
      </c>
      <c r="H48" s="25">
        <v>4783.7</v>
      </c>
      <c r="I48" s="25">
        <v>9.0399999999999991</v>
      </c>
      <c r="J48" s="26">
        <f t="shared" si="0"/>
        <v>1.3288055555555556</v>
      </c>
      <c r="L48" s="24">
        <v>3111.2296000000001</v>
      </c>
      <c r="M48" s="25">
        <v>34.750300000000003</v>
      </c>
      <c r="N48" s="25">
        <v>38.885199999999998</v>
      </c>
      <c r="O48" s="25">
        <v>39.806100000000001</v>
      </c>
      <c r="P48" s="25">
        <v>4783.6400000000003</v>
      </c>
      <c r="Q48" s="25">
        <v>8.98</v>
      </c>
      <c r="R48" s="26">
        <f t="shared" si="1"/>
        <v>1.328788888888889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1464.9864</v>
      </c>
      <c r="E49" s="25">
        <v>31.588799999999999</v>
      </c>
      <c r="F49" s="25">
        <v>37.022300000000001</v>
      </c>
      <c r="G49" s="25">
        <v>37.823900000000002</v>
      </c>
      <c r="H49" s="25">
        <v>3953.44</v>
      </c>
      <c r="I49" s="25">
        <v>7.14</v>
      </c>
      <c r="J49" s="26">
        <f t="shared" si="0"/>
        <v>1.0981777777777777</v>
      </c>
      <c r="L49" s="24">
        <v>1464.9864</v>
      </c>
      <c r="M49" s="25">
        <v>31.588799999999999</v>
      </c>
      <c r="N49" s="25">
        <v>37.022300000000001</v>
      </c>
      <c r="O49" s="25">
        <v>37.823900000000002</v>
      </c>
      <c r="P49" s="25">
        <v>3967.57</v>
      </c>
      <c r="Q49" s="25">
        <v>7.01</v>
      </c>
      <c r="R49" s="26">
        <f t="shared" si="1"/>
        <v>1.1021027777777779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692.22799999999995</v>
      </c>
      <c r="E50" s="34">
        <v>28.657900000000001</v>
      </c>
      <c r="F50" s="34">
        <v>35.729900000000001</v>
      </c>
      <c r="G50" s="34">
        <v>36.454300000000003</v>
      </c>
      <c r="H50" s="34">
        <v>3472.66</v>
      </c>
      <c r="I50" s="34">
        <v>5.98</v>
      </c>
      <c r="J50" s="35">
        <f t="shared" si="0"/>
        <v>0.96462777777777775</v>
      </c>
      <c r="L50" s="33">
        <v>692.22799999999995</v>
      </c>
      <c r="M50" s="34">
        <v>28.657900000000001</v>
      </c>
      <c r="N50" s="34">
        <v>35.729900000000001</v>
      </c>
      <c r="O50" s="34">
        <v>36.454300000000003</v>
      </c>
      <c r="P50" s="34">
        <v>3455.94</v>
      </c>
      <c r="Q50" s="34">
        <v>5.9</v>
      </c>
      <c r="R50" s="35">
        <f t="shared" si="1"/>
        <v>0.9599833333333333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4788.0712000000003</v>
      </c>
      <c r="E51" s="15">
        <v>39.046900000000001</v>
      </c>
      <c r="F51" s="15">
        <v>41.360399999999998</v>
      </c>
      <c r="G51" s="15">
        <v>42.837000000000003</v>
      </c>
      <c r="H51" s="15">
        <v>4743.9799999999996</v>
      </c>
      <c r="I51" s="15">
        <v>8.08</v>
      </c>
      <c r="J51" s="16">
        <f t="shared" si="0"/>
        <v>1.3177722222222221</v>
      </c>
      <c r="L51" s="14">
        <v>4788.0712000000003</v>
      </c>
      <c r="M51" s="15">
        <v>39.046900000000001</v>
      </c>
      <c r="N51" s="15">
        <v>41.360399999999998</v>
      </c>
      <c r="O51" s="15">
        <v>42.837000000000003</v>
      </c>
      <c r="P51" s="15">
        <v>4728.53</v>
      </c>
      <c r="Q51" s="15">
        <v>7.92</v>
      </c>
      <c r="R51" s="16">
        <f t="shared" si="1"/>
        <v>1.3134805555555555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2025.7064</v>
      </c>
      <c r="E52" s="25">
        <v>35.8444</v>
      </c>
      <c r="F52" s="25">
        <v>39.065199999999997</v>
      </c>
      <c r="G52" s="25">
        <v>40.688699999999997</v>
      </c>
      <c r="H52" s="25">
        <v>3774.54</v>
      </c>
      <c r="I52" s="25">
        <v>5.9</v>
      </c>
      <c r="J52" s="26">
        <f t="shared" si="0"/>
        <v>1.0484833333333334</v>
      </c>
      <c r="L52" s="24">
        <v>2025.7064</v>
      </c>
      <c r="M52" s="25">
        <v>35.8444</v>
      </c>
      <c r="N52" s="25">
        <v>39.065199999999997</v>
      </c>
      <c r="O52" s="25">
        <v>40.688699999999997</v>
      </c>
      <c r="P52" s="25">
        <v>3769.41</v>
      </c>
      <c r="Q52" s="25">
        <v>5.92</v>
      </c>
      <c r="R52" s="26">
        <f t="shared" si="1"/>
        <v>1.0470583333333332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946.55119999999999</v>
      </c>
      <c r="E53" s="25">
        <v>32.982100000000003</v>
      </c>
      <c r="F53" s="25">
        <v>37.195700000000002</v>
      </c>
      <c r="G53" s="25">
        <v>38.9407</v>
      </c>
      <c r="H53" s="25">
        <v>3113.35</v>
      </c>
      <c r="I53" s="25">
        <v>4.78</v>
      </c>
      <c r="J53" s="26">
        <f t="shared" si="0"/>
        <v>0.86481944444444447</v>
      </c>
      <c r="L53" s="24">
        <v>946.55119999999999</v>
      </c>
      <c r="M53" s="25">
        <v>32.982100000000003</v>
      </c>
      <c r="N53" s="25">
        <v>37.195700000000002</v>
      </c>
      <c r="O53" s="25">
        <v>38.9407</v>
      </c>
      <c r="P53" s="25">
        <v>3097.76</v>
      </c>
      <c r="Q53" s="25">
        <v>4.59</v>
      </c>
      <c r="R53" s="26">
        <f t="shared" si="1"/>
        <v>0.86048888888888897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464.22719999999998</v>
      </c>
      <c r="E54" s="34">
        <v>30.3416</v>
      </c>
      <c r="F54" s="34">
        <v>35.93</v>
      </c>
      <c r="G54" s="34">
        <v>37.676400000000001</v>
      </c>
      <c r="H54" s="34">
        <v>2655.26</v>
      </c>
      <c r="I54" s="34">
        <v>3.91</v>
      </c>
      <c r="J54" s="35">
        <f t="shared" si="0"/>
        <v>0.7375722222222223</v>
      </c>
      <c r="L54" s="33">
        <v>464.22719999999998</v>
      </c>
      <c r="M54" s="34">
        <v>30.3416</v>
      </c>
      <c r="N54" s="34">
        <v>35.93</v>
      </c>
      <c r="O54" s="34">
        <v>37.676400000000001</v>
      </c>
      <c r="P54" s="34">
        <v>2651.63</v>
      </c>
      <c r="Q54" s="34">
        <v>3.9</v>
      </c>
      <c r="R54" s="35">
        <f t="shared" si="1"/>
        <v>0.73656388888888891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1508.6536000000001</v>
      </c>
      <c r="E55" s="15">
        <v>40.669499999999999</v>
      </c>
      <c r="F55" s="15">
        <v>43.872500000000002</v>
      </c>
      <c r="G55" s="15">
        <v>43.030299999999997</v>
      </c>
      <c r="H55" s="15">
        <v>1561.43</v>
      </c>
      <c r="I55" s="15">
        <v>3.03</v>
      </c>
      <c r="J55" s="16">
        <f t="shared" si="0"/>
        <v>0.43373055555555556</v>
      </c>
      <c r="L55" s="14">
        <v>1508.6536000000001</v>
      </c>
      <c r="M55" s="15">
        <v>40.669499999999999</v>
      </c>
      <c r="N55" s="15">
        <v>43.872500000000002</v>
      </c>
      <c r="O55" s="15">
        <v>43.030299999999997</v>
      </c>
      <c r="P55" s="15">
        <v>1532.99</v>
      </c>
      <c r="Q55" s="15">
        <v>3.01</v>
      </c>
      <c r="R55" s="16">
        <f t="shared" si="1"/>
        <v>0.42583055555555555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753.82799999999997</v>
      </c>
      <c r="E56" s="25">
        <v>36.908900000000003</v>
      </c>
      <c r="F56" s="25">
        <v>41.271599999999999</v>
      </c>
      <c r="G56" s="25">
        <v>40.053899999999999</v>
      </c>
      <c r="H56" s="25">
        <v>1320.11</v>
      </c>
      <c r="I56" s="25">
        <v>2.4300000000000002</v>
      </c>
      <c r="J56" s="26">
        <f t="shared" si="0"/>
        <v>0.36669722222222217</v>
      </c>
      <c r="L56" s="24">
        <v>753.82799999999997</v>
      </c>
      <c r="M56" s="25">
        <v>36.908900000000003</v>
      </c>
      <c r="N56" s="25">
        <v>41.271599999999999</v>
      </c>
      <c r="O56" s="25">
        <v>40.053899999999999</v>
      </c>
      <c r="P56" s="25">
        <v>1317.98</v>
      </c>
      <c r="Q56" s="25">
        <v>2.4300000000000002</v>
      </c>
      <c r="R56" s="26">
        <f t="shared" si="1"/>
        <v>0.36610555555555557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371.83120000000002</v>
      </c>
      <c r="E57" s="25">
        <v>33.552700000000002</v>
      </c>
      <c r="F57" s="25">
        <v>39.206499999999998</v>
      </c>
      <c r="G57" s="25">
        <v>37.6646</v>
      </c>
      <c r="H57" s="25">
        <v>1120.74</v>
      </c>
      <c r="I57" s="25">
        <v>2.0099999999999998</v>
      </c>
      <c r="J57" s="26">
        <f t="shared" si="0"/>
        <v>0.31131666666666669</v>
      </c>
      <c r="L57" s="24">
        <v>371.83120000000002</v>
      </c>
      <c r="M57" s="25">
        <v>33.552700000000002</v>
      </c>
      <c r="N57" s="25">
        <v>39.206499999999998</v>
      </c>
      <c r="O57" s="25">
        <v>37.6646</v>
      </c>
      <c r="P57" s="25">
        <v>1116.1199999999999</v>
      </c>
      <c r="Q57" s="25">
        <v>2</v>
      </c>
      <c r="R57" s="26">
        <f t="shared" si="1"/>
        <v>0.31003333333333333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193.5472</v>
      </c>
      <c r="E58" s="34">
        <v>30.772500000000001</v>
      </c>
      <c r="F58" s="34">
        <v>37.801900000000003</v>
      </c>
      <c r="G58" s="34">
        <v>36.140700000000002</v>
      </c>
      <c r="H58" s="34">
        <v>971.23</v>
      </c>
      <c r="I58" s="34">
        <v>1.73</v>
      </c>
      <c r="J58" s="35">
        <f t="shared" si="0"/>
        <v>0.26978611111111112</v>
      </c>
      <c r="L58" s="33">
        <v>193.5472</v>
      </c>
      <c r="M58" s="34">
        <v>30.772500000000001</v>
      </c>
      <c r="N58" s="34">
        <v>37.801900000000003</v>
      </c>
      <c r="O58" s="34">
        <v>36.140700000000002</v>
      </c>
      <c r="P58" s="34">
        <v>972.78</v>
      </c>
      <c r="Q58" s="34">
        <v>1.74</v>
      </c>
      <c r="R58" s="35">
        <f t="shared" si="1"/>
        <v>0.27021666666666666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1636.6048000000001</v>
      </c>
      <c r="E59" s="15">
        <v>38.084600000000002</v>
      </c>
      <c r="F59" s="15">
        <v>43.1691</v>
      </c>
      <c r="G59" s="15">
        <v>44.168399999999998</v>
      </c>
      <c r="H59" s="15">
        <v>1589.89</v>
      </c>
      <c r="I59" s="15">
        <v>3.57</v>
      </c>
      <c r="J59" s="16">
        <f t="shared" si="0"/>
        <v>0.44163611111111112</v>
      </c>
      <c r="L59" s="14">
        <v>1636.6048000000001</v>
      </c>
      <c r="M59" s="15">
        <v>38.084600000000002</v>
      </c>
      <c r="N59" s="15">
        <v>43.1691</v>
      </c>
      <c r="O59" s="15">
        <v>44.168399999999998</v>
      </c>
      <c r="P59" s="15">
        <v>1582.23</v>
      </c>
      <c r="Q59" s="15">
        <v>3.57</v>
      </c>
      <c r="R59" s="16">
        <f t="shared" si="1"/>
        <v>0.43950833333333333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636.09680000000003</v>
      </c>
      <c r="E60" s="25">
        <v>34.716200000000001</v>
      </c>
      <c r="F60" s="25">
        <v>41.049599999999998</v>
      </c>
      <c r="G60" s="25">
        <v>42.038400000000003</v>
      </c>
      <c r="H60" s="25">
        <v>1164.98</v>
      </c>
      <c r="I60" s="25">
        <v>2.65</v>
      </c>
      <c r="J60" s="26">
        <f t="shared" si="0"/>
        <v>0.32360555555555554</v>
      </c>
      <c r="L60" s="24">
        <v>636.09680000000003</v>
      </c>
      <c r="M60" s="25">
        <v>34.716200000000001</v>
      </c>
      <c r="N60" s="25">
        <v>41.049599999999998</v>
      </c>
      <c r="O60" s="25">
        <v>42.038400000000003</v>
      </c>
      <c r="P60" s="25">
        <v>1160.4000000000001</v>
      </c>
      <c r="Q60" s="25">
        <v>2.5299999999999998</v>
      </c>
      <c r="R60" s="26">
        <f t="shared" si="1"/>
        <v>0.32233333333333336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284.87119999999999</v>
      </c>
      <c r="E61" s="25">
        <v>31.886099999999999</v>
      </c>
      <c r="F61" s="25">
        <v>39.540799999999997</v>
      </c>
      <c r="G61" s="25">
        <v>40.457299999999996</v>
      </c>
      <c r="H61" s="25">
        <v>970.01</v>
      </c>
      <c r="I61" s="25">
        <v>2.0299999999999998</v>
      </c>
      <c r="J61" s="26">
        <f t="shared" si="0"/>
        <v>0.26944722222222223</v>
      </c>
      <c r="L61" s="24">
        <v>284.87119999999999</v>
      </c>
      <c r="M61" s="25">
        <v>31.886099999999999</v>
      </c>
      <c r="N61" s="25">
        <v>39.540799999999997</v>
      </c>
      <c r="O61" s="25">
        <v>40.457299999999996</v>
      </c>
      <c r="P61" s="25">
        <v>964.28</v>
      </c>
      <c r="Q61" s="25">
        <v>2.09</v>
      </c>
      <c r="R61" s="26">
        <f t="shared" si="1"/>
        <v>0.26785555555555557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139.61920000000001</v>
      </c>
      <c r="E62" s="34">
        <v>29.142700000000001</v>
      </c>
      <c r="F62" s="34">
        <v>38.483199999999997</v>
      </c>
      <c r="G62" s="34">
        <v>39.348199999999999</v>
      </c>
      <c r="H62" s="34">
        <v>887.46</v>
      </c>
      <c r="I62" s="34">
        <v>1.85</v>
      </c>
      <c r="J62" s="35">
        <f t="shared" si="0"/>
        <v>0.24651666666666669</v>
      </c>
      <c r="L62" s="33">
        <v>139.61920000000001</v>
      </c>
      <c r="M62" s="34">
        <v>29.142700000000001</v>
      </c>
      <c r="N62" s="34">
        <v>38.483199999999997</v>
      </c>
      <c r="O62" s="34">
        <v>39.348199999999999</v>
      </c>
      <c r="P62" s="34">
        <v>880.43</v>
      </c>
      <c r="Q62" s="34">
        <v>1.88</v>
      </c>
      <c r="R62" s="35">
        <f t="shared" si="1"/>
        <v>0.24456388888888889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1648.9464</v>
      </c>
      <c r="E63" s="15">
        <v>38.271799999999999</v>
      </c>
      <c r="F63" s="15">
        <v>41.291800000000002</v>
      </c>
      <c r="G63" s="15">
        <v>42.240900000000003</v>
      </c>
      <c r="H63" s="15">
        <v>1344.66</v>
      </c>
      <c r="I63" s="15">
        <v>2.92</v>
      </c>
      <c r="J63" s="16">
        <f t="shared" si="0"/>
        <v>0.37351666666666666</v>
      </c>
      <c r="L63" s="14">
        <v>1648.9464</v>
      </c>
      <c r="M63" s="15">
        <v>38.271799999999999</v>
      </c>
      <c r="N63" s="15">
        <v>41.291800000000002</v>
      </c>
      <c r="O63" s="15">
        <v>42.240900000000003</v>
      </c>
      <c r="P63" s="15">
        <v>1345.35</v>
      </c>
      <c r="Q63" s="15">
        <v>2.92</v>
      </c>
      <c r="R63" s="16">
        <f t="shared" si="1"/>
        <v>0.37370833333333331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754.38800000000003</v>
      </c>
      <c r="E64" s="25">
        <v>34.864699999999999</v>
      </c>
      <c r="F64" s="25">
        <v>38.7363</v>
      </c>
      <c r="G64" s="25">
        <v>39.4876</v>
      </c>
      <c r="H64" s="25">
        <v>1065.8599999999999</v>
      </c>
      <c r="I64" s="25">
        <v>2.2799999999999998</v>
      </c>
      <c r="J64" s="26">
        <f t="shared" si="0"/>
        <v>0.29607222222222218</v>
      </c>
      <c r="L64" s="24">
        <v>754.38800000000003</v>
      </c>
      <c r="M64" s="25">
        <v>34.864699999999999</v>
      </c>
      <c r="N64" s="25">
        <v>38.7363</v>
      </c>
      <c r="O64" s="25">
        <v>39.4876</v>
      </c>
      <c r="P64" s="25">
        <v>1062.94</v>
      </c>
      <c r="Q64" s="25">
        <v>2.27</v>
      </c>
      <c r="R64" s="26">
        <f t="shared" si="1"/>
        <v>0.29526111111111114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352.44799999999998</v>
      </c>
      <c r="E65" s="25">
        <v>31.650200000000002</v>
      </c>
      <c r="F65" s="25">
        <v>36.737900000000003</v>
      </c>
      <c r="G65" s="25">
        <v>37.408999999999999</v>
      </c>
      <c r="H65" s="25">
        <v>882.63</v>
      </c>
      <c r="I65" s="25">
        <v>1.84</v>
      </c>
      <c r="J65" s="26">
        <f t="shared" si="0"/>
        <v>0.245175</v>
      </c>
      <c r="L65" s="24">
        <v>352.44799999999998</v>
      </c>
      <c r="M65" s="25">
        <v>31.650200000000002</v>
      </c>
      <c r="N65" s="25">
        <v>36.737900000000003</v>
      </c>
      <c r="O65" s="25">
        <v>37.408999999999999</v>
      </c>
      <c r="P65" s="25">
        <v>880.04</v>
      </c>
      <c r="Q65" s="25">
        <v>1.85</v>
      </c>
      <c r="R65" s="26">
        <f t="shared" si="1"/>
        <v>0.24445555555555554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163.6456</v>
      </c>
      <c r="E66" s="34">
        <v>28.716999999999999</v>
      </c>
      <c r="F66" s="34">
        <v>35.359499999999997</v>
      </c>
      <c r="G66" s="34">
        <v>35.950000000000003</v>
      </c>
      <c r="H66" s="34">
        <v>773.07</v>
      </c>
      <c r="I66" s="34">
        <v>1.58</v>
      </c>
      <c r="J66" s="35">
        <f t="shared" si="0"/>
        <v>0.21474166666666669</v>
      </c>
      <c r="L66" s="33">
        <v>163.6456</v>
      </c>
      <c r="M66" s="34">
        <v>28.716999999999999</v>
      </c>
      <c r="N66" s="34">
        <v>35.359499999999997</v>
      </c>
      <c r="O66" s="34">
        <v>35.950000000000003</v>
      </c>
      <c r="P66" s="34">
        <v>772.83</v>
      </c>
      <c r="Q66" s="34">
        <v>1.57</v>
      </c>
      <c r="R66" s="35">
        <f t="shared" si="1"/>
        <v>0.214675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1198.7888</v>
      </c>
      <c r="E67" s="15">
        <v>39.468899999999998</v>
      </c>
      <c r="F67" s="15">
        <v>41.498600000000003</v>
      </c>
      <c r="G67" s="15">
        <v>42.578899999999997</v>
      </c>
      <c r="H67" s="15">
        <v>1094.6099999999999</v>
      </c>
      <c r="I67" s="15">
        <v>2.2000000000000002</v>
      </c>
      <c r="J67" s="16">
        <f t="shared" si="0"/>
        <v>0.30405833333333332</v>
      </c>
      <c r="L67" s="14">
        <v>1198.7888</v>
      </c>
      <c r="M67" s="15">
        <v>39.468899999999998</v>
      </c>
      <c r="N67" s="15">
        <v>41.498600000000003</v>
      </c>
      <c r="O67" s="15">
        <v>42.578899999999997</v>
      </c>
      <c r="P67" s="15">
        <v>1093.8499999999999</v>
      </c>
      <c r="Q67" s="15">
        <v>2.1800000000000002</v>
      </c>
      <c r="R67" s="16">
        <f t="shared" si="1"/>
        <v>0.30384722222222221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588.03120000000001</v>
      </c>
      <c r="E68" s="25">
        <v>35.746499999999997</v>
      </c>
      <c r="F68" s="25">
        <v>38.796700000000001</v>
      </c>
      <c r="G68" s="25">
        <v>40.0456</v>
      </c>
      <c r="H68" s="25">
        <v>899.18</v>
      </c>
      <c r="I68" s="25">
        <v>1.72</v>
      </c>
      <c r="J68" s="26">
        <f t="shared" ref="J68:J98" si="2">secToHours(H68)</f>
        <v>0.2497722222222222</v>
      </c>
      <c r="L68" s="24">
        <v>588.03120000000001</v>
      </c>
      <c r="M68" s="25">
        <v>35.746499999999997</v>
      </c>
      <c r="N68" s="25">
        <v>38.796700000000001</v>
      </c>
      <c r="O68" s="25">
        <v>40.0456</v>
      </c>
      <c r="P68" s="25">
        <v>894.94</v>
      </c>
      <c r="Q68" s="25">
        <v>1.73</v>
      </c>
      <c r="R68" s="26">
        <f t="shared" ref="R68:R98" si="3">secToHours(P68)</f>
        <v>0.24859444444444445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285.06079999999997</v>
      </c>
      <c r="E69" s="25">
        <v>32.338999999999999</v>
      </c>
      <c r="F69" s="25">
        <v>36.799999999999997</v>
      </c>
      <c r="G69" s="25">
        <v>38.035800000000002</v>
      </c>
      <c r="H69" s="25">
        <v>739.18</v>
      </c>
      <c r="I69" s="25">
        <v>1.39</v>
      </c>
      <c r="J69" s="26">
        <f t="shared" si="2"/>
        <v>0.20532777777777778</v>
      </c>
      <c r="L69" s="24">
        <v>285.06079999999997</v>
      </c>
      <c r="M69" s="25">
        <v>32.338999999999999</v>
      </c>
      <c r="N69" s="25">
        <v>36.799999999999997</v>
      </c>
      <c r="O69" s="25">
        <v>38.035800000000002</v>
      </c>
      <c r="P69" s="25">
        <v>736.82</v>
      </c>
      <c r="Q69" s="25">
        <v>1.37</v>
      </c>
      <c r="R69" s="26">
        <f t="shared" si="3"/>
        <v>0.20467222222222223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141.22479999999999</v>
      </c>
      <c r="E70" s="34">
        <v>29.544</v>
      </c>
      <c r="F70" s="34">
        <v>35.420400000000001</v>
      </c>
      <c r="G70" s="34">
        <v>36.6023</v>
      </c>
      <c r="H70" s="34">
        <v>623.48</v>
      </c>
      <c r="I70" s="34">
        <v>1.1499999999999999</v>
      </c>
      <c r="J70" s="35">
        <f t="shared" si="2"/>
        <v>0.17318888888888889</v>
      </c>
      <c r="L70" s="33">
        <v>141.22479999999999</v>
      </c>
      <c r="M70" s="34">
        <v>29.544</v>
      </c>
      <c r="N70" s="34">
        <v>35.420400000000001</v>
      </c>
      <c r="O70" s="34">
        <v>36.6023</v>
      </c>
      <c r="P70" s="34">
        <v>621.59</v>
      </c>
      <c r="Q70" s="34">
        <v>1.1399999999999999</v>
      </c>
      <c r="R70" s="35">
        <f t="shared" si="3"/>
        <v>0.17266388888888889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66" t="s">
        <v>25</v>
      </c>
      <c r="B71" s="66" t="s">
        <v>81</v>
      </c>
      <c r="C71" s="66">
        <v>22</v>
      </c>
      <c r="D71" s="99"/>
      <c r="E71" s="100"/>
      <c r="F71" s="100"/>
      <c r="G71" s="100"/>
      <c r="H71" s="100"/>
      <c r="I71" s="100"/>
      <c r="J71" s="74"/>
      <c r="K71" s="101"/>
      <c r="L71" s="99"/>
      <c r="M71" s="100"/>
      <c r="N71" s="100"/>
      <c r="O71" s="100"/>
      <c r="P71" s="100"/>
      <c r="Q71" s="100"/>
      <c r="R71" s="74"/>
      <c r="S71" s="102"/>
      <c r="T71" s="81"/>
      <c r="U71" s="82"/>
      <c r="V71" s="82"/>
      <c r="W71" s="83"/>
      <c r="X71" s="84"/>
      <c r="Y71" s="85"/>
    </row>
    <row r="72" spans="1:25" x14ac:dyDescent="0.2">
      <c r="A72" s="67" t="s">
        <v>26</v>
      </c>
      <c r="B72" s="67"/>
      <c r="C72" s="67">
        <v>27</v>
      </c>
      <c r="D72" s="103"/>
      <c r="E72" s="104"/>
      <c r="F72" s="104"/>
      <c r="G72" s="104"/>
      <c r="H72" s="104"/>
      <c r="I72" s="104"/>
      <c r="J72" s="77"/>
      <c r="K72" s="101"/>
      <c r="L72" s="103"/>
      <c r="M72" s="104"/>
      <c r="N72" s="104"/>
      <c r="O72" s="104"/>
      <c r="P72" s="104"/>
      <c r="Q72" s="104"/>
      <c r="R72" s="77"/>
      <c r="S72" s="102"/>
      <c r="T72" s="86"/>
      <c r="U72" s="87"/>
      <c r="V72" s="87"/>
      <c r="W72" s="86"/>
      <c r="X72" s="87"/>
      <c r="Y72" s="88"/>
    </row>
    <row r="73" spans="1:25" x14ac:dyDescent="0.2">
      <c r="A73" s="67"/>
      <c r="B73" s="67"/>
      <c r="C73" s="67">
        <v>32</v>
      </c>
      <c r="D73" s="103"/>
      <c r="E73" s="104"/>
      <c r="F73" s="104"/>
      <c r="G73" s="104"/>
      <c r="H73" s="104"/>
      <c r="I73" s="104"/>
      <c r="J73" s="77"/>
      <c r="K73" s="101"/>
      <c r="L73" s="103"/>
      <c r="M73" s="104"/>
      <c r="N73" s="104"/>
      <c r="O73" s="104"/>
      <c r="P73" s="104"/>
      <c r="Q73" s="104"/>
      <c r="R73" s="77"/>
      <c r="S73" s="102"/>
      <c r="T73" s="86"/>
      <c r="U73" s="87"/>
      <c r="V73" s="87"/>
      <c r="W73" s="86"/>
      <c r="X73" s="87"/>
      <c r="Y73" s="88"/>
    </row>
    <row r="74" spans="1:25" ht="12.75" thickBot="1" x14ac:dyDescent="0.25">
      <c r="A74" s="67"/>
      <c r="B74" s="68"/>
      <c r="C74" s="68">
        <v>37</v>
      </c>
      <c r="D74" s="105"/>
      <c r="E74" s="106"/>
      <c r="F74" s="106"/>
      <c r="G74" s="106"/>
      <c r="H74" s="106"/>
      <c r="I74" s="106"/>
      <c r="J74" s="80"/>
      <c r="K74" s="101"/>
      <c r="L74" s="105"/>
      <c r="M74" s="106"/>
      <c r="N74" s="106"/>
      <c r="O74" s="106"/>
      <c r="P74" s="106"/>
      <c r="Q74" s="106"/>
      <c r="R74" s="80"/>
      <c r="S74" s="102"/>
      <c r="T74" s="89"/>
      <c r="U74" s="90"/>
      <c r="V74" s="90"/>
      <c r="W74" s="89"/>
      <c r="X74" s="90"/>
      <c r="Y74" s="91"/>
    </row>
    <row r="75" spans="1:25" x14ac:dyDescent="0.2">
      <c r="A75" s="67"/>
      <c r="B75" s="66" t="s">
        <v>82</v>
      </c>
      <c r="C75" s="66">
        <v>22</v>
      </c>
      <c r="D75" s="99"/>
      <c r="E75" s="100"/>
      <c r="F75" s="100"/>
      <c r="G75" s="100"/>
      <c r="H75" s="100"/>
      <c r="I75" s="100"/>
      <c r="J75" s="74"/>
      <c r="K75" s="101"/>
      <c r="L75" s="99"/>
      <c r="M75" s="100"/>
      <c r="N75" s="100"/>
      <c r="O75" s="100"/>
      <c r="P75" s="100"/>
      <c r="Q75" s="100"/>
      <c r="R75" s="74"/>
      <c r="S75" s="102"/>
      <c r="T75" s="81"/>
      <c r="U75" s="82"/>
      <c r="V75" s="82"/>
      <c r="W75" s="83"/>
      <c r="X75" s="84"/>
      <c r="Y75" s="85"/>
    </row>
    <row r="76" spans="1:25" x14ac:dyDescent="0.2">
      <c r="A76" s="67"/>
      <c r="B76" s="67"/>
      <c r="C76" s="67">
        <v>27</v>
      </c>
      <c r="D76" s="103"/>
      <c r="E76" s="104"/>
      <c r="F76" s="104"/>
      <c r="G76" s="104"/>
      <c r="H76" s="104"/>
      <c r="I76" s="104"/>
      <c r="J76" s="77"/>
      <c r="K76" s="101"/>
      <c r="L76" s="103"/>
      <c r="M76" s="104"/>
      <c r="N76" s="104"/>
      <c r="O76" s="104"/>
      <c r="P76" s="104"/>
      <c r="Q76" s="104"/>
      <c r="R76" s="77"/>
      <c r="S76" s="102"/>
      <c r="T76" s="86"/>
      <c r="U76" s="87"/>
      <c r="V76" s="87"/>
      <c r="W76" s="86"/>
      <c r="X76" s="87"/>
      <c r="Y76" s="88"/>
    </row>
    <row r="77" spans="1:25" x14ac:dyDescent="0.2">
      <c r="A77" s="67"/>
      <c r="B77" s="67"/>
      <c r="C77" s="67">
        <v>32</v>
      </c>
      <c r="D77" s="103"/>
      <c r="E77" s="104"/>
      <c r="F77" s="104"/>
      <c r="G77" s="104"/>
      <c r="H77" s="104"/>
      <c r="I77" s="104"/>
      <c r="J77" s="77"/>
      <c r="K77" s="101"/>
      <c r="L77" s="103"/>
      <c r="M77" s="104"/>
      <c r="N77" s="104"/>
      <c r="O77" s="104"/>
      <c r="P77" s="104"/>
      <c r="Q77" s="104"/>
      <c r="R77" s="77"/>
      <c r="S77" s="102"/>
      <c r="T77" s="86"/>
      <c r="U77" s="87"/>
      <c r="V77" s="87"/>
      <c r="W77" s="86"/>
      <c r="X77" s="87"/>
      <c r="Y77" s="88"/>
    </row>
    <row r="78" spans="1:25" ht="12.75" thickBot="1" x14ac:dyDescent="0.25">
      <c r="A78" s="67"/>
      <c r="B78" s="68"/>
      <c r="C78" s="68">
        <v>37</v>
      </c>
      <c r="D78" s="105"/>
      <c r="E78" s="106"/>
      <c r="F78" s="106"/>
      <c r="G78" s="106"/>
      <c r="H78" s="106"/>
      <c r="I78" s="106"/>
      <c r="J78" s="80"/>
      <c r="K78" s="101"/>
      <c r="L78" s="105"/>
      <c r="M78" s="106"/>
      <c r="N78" s="106"/>
      <c r="O78" s="106"/>
      <c r="P78" s="106"/>
      <c r="Q78" s="106"/>
      <c r="R78" s="80"/>
      <c r="S78" s="102"/>
      <c r="T78" s="89"/>
      <c r="U78" s="90"/>
      <c r="V78" s="90"/>
      <c r="W78" s="89"/>
      <c r="X78" s="90"/>
      <c r="Y78" s="91"/>
    </row>
    <row r="79" spans="1:25" x14ac:dyDescent="0.2">
      <c r="A79" s="67"/>
      <c r="B79" s="66" t="s">
        <v>83</v>
      </c>
      <c r="C79" s="66">
        <v>22</v>
      </c>
      <c r="D79" s="99"/>
      <c r="E79" s="100"/>
      <c r="F79" s="100"/>
      <c r="G79" s="100"/>
      <c r="H79" s="100"/>
      <c r="I79" s="100"/>
      <c r="J79" s="74"/>
      <c r="K79" s="101"/>
      <c r="L79" s="99"/>
      <c r="M79" s="100"/>
      <c r="N79" s="100"/>
      <c r="O79" s="100"/>
      <c r="P79" s="100"/>
      <c r="Q79" s="100"/>
      <c r="R79" s="74"/>
      <c r="S79" s="102"/>
      <c r="T79" s="81"/>
      <c r="U79" s="82"/>
      <c r="V79" s="82"/>
      <c r="W79" s="83"/>
      <c r="X79" s="84"/>
      <c r="Y79" s="85"/>
    </row>
    <row r="80" spans="1:25" x14ac:dyDescent="0.2">
      <c r="A80" s="67"/>
      <c r="B80" s="67"/>
      <c r="C80" s="67">
        <v>27</v>
      </c>
      <c r="D80" s="103"/>
      <c r="E80" s="104"/>
      <c r="F80" s="104"/>
      <c r="G80" s="104"/>
      <c r="H80" s="104"/>
      <c r="I80" s="104"/>
      <c r="J80" s="77"/>
      <c r="K80" s="101"/>
      <c r="L80" s="103"/>
      <c r="M80" s="104"/>
      <c r="N80" s="104"/>
      <c r="O80" s="104"/>
      <c r="P80" s="104"/>
      <c r="Q80" s="104"/>
      <c r="R80" s="77"/>
      <c r="S80" s="102"/>
      <c r="T80" s="86"/>
      <c r="U80" s="87"/>
      <c r="V80" s="87"/>
      <c r="W80" s="86"/>
      <c r="X80" s="87"/>
      <c r="Y80" s="88"/>
    </row>
    <row r="81" spans="1:25" x14ac:dyDescent="0.2">
      <c r="A81" s="67"/>
      <c r="B81" s="67"/>
      <c r="C81" s="67">
        <v>32</v>
      </c>
      <c r="D81" s="103"/>
      <c r="E81" s="104"/>
      <c r="F81" s="104"/>
      <c r="G81" s="104"/>
      <c r="H81" s="104"/>
      <c r="I81" s="104"/>
      <c r="J81" s="77"/>
      <c r="K81" s="101"/>
      <c r="L81" s="103"/>
      <c r="M81" s="104"/>
      <c r="N81" s="104"/>
      <c r="O81" s="104"/>
      <c r="P81" s="104"/>
      <c r="Q81" s="104"/>
      <c r="R81" s="77"/>
      <c r="S81" s="102"/>
      <c r="T81" s="86"/>
      <c r="U81" s="87"/>
      <c r="V81" s="87"/>
      <c r="W81" s="86"/>
      <c r="X81" s="87"/>
      <c r="Y81" s="88"/>
    </row>
    <row r="82" spans="1:25" ht="12.75" thickBot="1" x14ac:dyDescent="0.25">
      <c r="A82" s="68"/>
      <c r="B82" s="68"/>
      <c r="C82" s="68">
        <v>37</v>
      </c>
      <c r="D82" s="105"/>
      <c r="E82" s="106"/>
      <c r="F82" s="106"/>
      <c r="G82" s="106"/>
      <c r="H82" s="106"/>
      <c r="I82" s="106"/>
      <c r="J82" s="80"/>
      <c r="K82" s="101"/>
      <c r="L82" s="105"/>
      <c r="M82" s="106"/>
      <c r="N82" s="106"/>
      <c r="O82" s="106"/>
      <c r="P82" s="106"/>
      <c r="Q82" s="106"/>
      <c r="R82" s="80"/>
      <c r="S82" s="102"/>
      <c r="T82" s="89"/>
      <c r="U82" s="90"/>
      <c r="V82" s="90"/>
      <c r="W82" s="89"/>
      <c r="X82" s="90"/>
      <c r="Y82" s="91"/>
    </row>
    <row r="83" spans="1:25" x14ac:dyDescent="0.2">
      <c r="A83" s="63" t="s">
        <v>58</v>
      </c>
      <c r="B83" s="63" t="s">
        <v>59</v>
      </c>
      <c r="C83" s="63">
        <v>22</v>
      </c>
      <c r="D83" s="14">
        <v>3594.8296</v>
      </c>
      <c r="E83" s="15">
        <v>40.601199999999999</v>
      </c>
      <c r="F83" s="15">
        <v>42.982799999999997</v>
      </c>
      <c r="G83" s="15">
        <v>43.528700000000001</v>
      </c>
      <c r="H83" s="15">
        <v>5608.17</v>
      </c>
      <c r="I83" s="15">
        <v>9.41</v>
      </c>
      <c r="J83" s="16">
        <f t="shared" si="2"/>
        <v>1.557825</v>
      </c>
      <c r="L83" s="14">
        <v>3594.8296</v>
      </c>
      <c r="M83" s="15">
        <v>40.601199999999999</v>
      </c>
      <c r="N83" s="15">
        <v>42.982799999999997</v>
      </c>
      <c r="O83" s="15">
        <v>43.528700000000001</v>
      </c>
      <c r="P83" s="15">
        <v>5598.09</v>
      </c>
      <c r="Q83" s="15">
        <v>9.35</v>
      </c>
      <c r="R83" s="16">
        <f t="shared" si="3"/>
        <v>1.5550250000000001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1776.508</v>
      </c>
      <c r="E84" s="25">
        <v>37.399099999999997</v>
      </c>
      <c r="F84" s="25">
        <v>40.388599999999997</v>
      </c>
      <c r="G84" s="25">
        <v>40.5989</v>
      </c>
      <c r="H84" s="25">
        <v>4693.22</v>
      </c>
      <c r="I84" s="25">
        <v>7.5</v>
      </c>
      <c r="J84" s="26">
        <f t="shared" si="2"/>
        <v>1.3036722222222223</v>
      </c>
      <c r="L84" s="24">
        <v>1776.508</v>
      </c>
      <c r="M84" s="25">
        <v>37.399099999999997</v>
      </c>
      <c r="N84" s="25">
        <v>40.388599999999997</v>
      </c>
      <c r="O84" s="25">
        <v>40.5989</v>
      </c>
      <c r="P84" s="25">
        <v>4673.54</v>
      </c>
      <c r="Q84" s="25">
        <v>7.49</v>
      </c>
      <c r="R84" s="26">
        <f t="shared" si="3"/>
        <v>1.2982055555555556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894.66480000000001</v>
      </c>
      <c r="E85" s="25">
        <v>34.363</v>
      </c>
      <c r="F85" s="25">
        <v>38.113999999999997</v>
      </c>
      <c r="G85" s="25">
        <v>38.125100000000003</v>
      </c>
      <c r="H85" s="25">
        <v>4016.84</v>
      </c>
      <c r="I85" s="25">
        <v>6.15</v>
      </c>
      <c r="J85" s="26">
        <f t="shared" si="2"/>
        <v>1.1157888888888889</v>
      </c>
      <c r="L85" s="24">
        <v>894.66480000000001</v>
      </c>
      <c r="M85" s="25">
        <v>34.363</v>
      </c>
      <c r="N85" s="25">
        <v>38.113999999999997</v>
      </c>
      <c r="O85" s="25">
        <v>38.125100000000003</v>
      </c>
      <c r="P85" s="25">
        <v>3979.99</v>
      </c>
      <c r="Q85" s="25">
        <v>6.18</v>
      </c>
      <c r="R85" s="26">
        <f t="shared" si="3"/>
        <v>1.1055527777777776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482.89760000000001</v>
      </c>
      <c r="E86" s="34">
        <v>31.693300000000001</v>
      </c>
      <c r="F86" s="34">
        <v>36.463900000000002</v>
      </c>
      <c r="G86" s="34">
        <v>36.365699999999997</v>
      </c>
      <c r="H86" s="34">
        <v>3513.05</v>
      </c>
      <c r="I86" s="34">
        <v>5.31</v>
      </c>
      <c r="J86" s="35">
        <f t="shared" si="2"/>
        <v>0.97584722222222231</v>
      </c>
      <c r="L86" s="33">
        <v>482.89760000000001</v>
      </c>
      <c r="M86" s="34">
        <v>31.693300000000001</v>
      </c>
      <c r="N86" s="34">
        <v>36.463900000000002</v>
      </c>
      <c r="O86" s="34">
        <v>36.365699999999997</v>
      </c>
      <c r="P86" s="34">
        <v>3506.51</v>
      </c>
      <c r="Q86" s="34">
        <v>5.36</v>
      </c>
      <c r="R86" s="35">
        <f t="shared" si="3"/>
        <v>0.97403055555555562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5079.1315000000004</v>
      </c>
      <c r="E87" s="15">
        <v>42.507399999999997</v>
      </c>
      <c r="F87" s="15">
        <v>45.838799999999999</v>
      </c>
      <c r="G87" s="15">
        <v>45.9664</v>
      </c>
      <c r="H87" s="15">
        <v>12530.45</v>
      </c>
      <c r="I87" s="15">
        <v>19.2</v>
      </c>
      <c r="J87" s="16">
        <f t="shared" si="2"/>
        <v>3.4806805555555558</v>
      </c>
      <c r="L87" s="14">
        <v>5079.1315000000004</v>
      </c>
      <c r="M87" s="15">
        <v>42.507399999999997</v>
      </c>
      <c r="N87" s="15">
        <v>45.838799999999999</v>
      </c>
      <c r="O87" s="15">
        <v>45.9664</v>
      </c>
      <c r="P87" s="15">
        <v>12465.86</v>
      </c>
      <c r="Q87" s="15">
        <v>19.21</v>
      </c>
      <c r="R87" s="16">
        <f t="shared" si="3"/>
        <v>3.462738888888889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2598.9504000000002</v>
      </c>
      <c r="E88" s="25">
        <v>38.679200000000002</v>
      </c>
      <c r="F88" s="25">
        <v>43.094900000000003</v>
      </c>
      <c r="G88" s="25">
        <v>43.0002</v>
      </c>
      <c r="H88" s="25">
        <v>10245.39</v>
      </c>
      <c r="I88" s="25">
        <v>15.71</v>
      </c>
      <c r="J88" s="26">
        <f t="shared" si="2"/>
        <v>2.8459416666666666</v>
      </c>
      <c r="L88" s="24">
        <v>2598.9504000000002</v>
      </c>
      <c r="M88" s="25">
        <v>38.679200000000002</v>
      </c>
      <c r="N88" s="25">
        <v>43.094900000000003</v>
      </c>
      <c r="O88" s="25">
        <v>43.0002</v>
      </c>
      <c r="P88" s="25">
        <v>10219.57</v>
      </c>
      <c r="Q88" s="25">
        <v>15.68</v>
      </c>
      <c r="R88" s="26">
        <f t="shared" si="3"/>
        <v>2.8387694444444445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1312.7885000000001</v>
      </c>
      <c r="E89" s="25">
        <v>35.053899999999999</v>
      </c>
      <c r="F89" s="25">
        <v>40.729399999999998</v>
      </c>
      <c r="G89" s="25">
        <v>40.640999999999998</v>
      </c>
      <c r="H89" s="25">
        <v>8290.5499999999993</v>
      </c>
      <c r="I89" s="25">
        <v>12.87</v>
      </c>
      <c r="J89" s="26">
        <f t="shared" si="2"/>
        <v>2.3029305555555553</v>
      </c>
      <c r="L89" s="24">
        <v>1312.7885000000001</v>
      </c>
      <c r="M89" s="25">
        <v>35.053899999999999</v>
      </c>
      <c r="N89" s="25">
        <v>40.729399999999998</v>
      </c>
      <c r="O89" s="25">
        <v>40.640999999999998</v>
      </c>
      <c r="P89" s="25">
        <v>8300.58</v>
      </c>
      <c r="Q89" s="25">
        <v>12.69</v>
      </c>
      <c r="R89" s="26">
        <f t="shared" si="3"/>
        <v>2.3057166666666666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681.3365</v>
      </c>
      <c r="E90" s="34">
        <v>31.9177</v>
      </c>
      <c r="F90" s="34">
        <v>39.249499999999998</v>
      </c>
      <c r="G90" s="34">
        <v>39.072800000000001</v>
      </c>
      <c r="H90" s="34">
        <v>7103.32</v>
      </c>
      <c r="I90" s="34">
        <v>10.78</v>
      </c>
      <c r="J90" s="35">
        <f t="shared" si="2"/>
        <v>1.9731444444444444</v>
      </c>
      <c r="L90" s="33">
        <v>681.3365</v>
      </c>
      <c r="M90" s="34">
        <v>31.9177</v>
      </c>
      <c r="N90" s="34">
        <v>39.249499999999998</v>
      </c>
      <c r="O90" s="34">
        <v>39.072800000000001</v>
      </c>
      <c r="P90" s="34">
        <v>7010.11</v>
      </c>
      <c r="Q90" s="34">
        <v>10.97</v>
      </c>
      <c r="R90" s="35">
        <f t="shared" si="3"/>
        <v>1.9472527777777777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1332.4359999999999</v>
      </c>
      <c r="E91" s="15">
        <v>47.662100000000002</v>
      </c>
      <c r="F91" s="15">
        <v>46.347299999999997</v>
      </c>
      <c r="G91" s="15">
        <v>46.365900000000003</v>
      </c>
      <c r="H91" s="15">
        <v>3461.05</v>
      </c>
      <c r="I91" s="15">
        <v>5.45</v>
      </c>
      <c r="J91" s="16">
        <f t="shared" si="2"/>
        <v>0.96140277777777783</v>
      </c>
      <c r="L91" s="14">
        <v>1332.4359999999999</v>
      </c>
      <c r="M91" s="15">
        <v>47.662100000000002</v>
      </c>
      <c r="N91" s="15">
        <v>46.347299999999997</v>
      </c>
      <c r="O91" s="15">
        <v>46.365900000000003</v>
      </c>
      <c r="P91" s="15">
        <v>3458.58</v>
      </c>
      <c r="Q91" s="15">
        <v>5.45</v>
      </c>
      <c r="R91" s="16">
        <f t="shared" si="3"/>
        <v>0.96071666666666666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1004.3584</v>
      </c>
      <c r="E92" s="25">
        <v>43.489100000000001</v>
      </c>
      <c r="F92" s="25">
        <v>42.0931</v>
      </c>
      <c r="G92" s="25">
        <v>42.193300000000001</v>
      </c>
      <c r="H92" s="25">
        <v>3401.72</v>
      </c>
      <c r="I92" s="25">
        <v>5.48</v>
      </c>
      <c r="J92" s="26">
        <f t="shared" si="2"/>
        <v>0.94492222222222222</v>
      </c>
      <c r="L92" s="24">
        <v>1004.3584</v>
      </c>
      <c r="M92" s="25">
        <v>43.489100000000001</v>
      </c>
      <c r="N92" s="25">
        <v>42.0931</v>
      </c>
      <c r="O92" s="25">
        <v>42.193300000000001</v>
      </c>
      <c r="P92" s="25">
        <v>3389.16</v>
      </c>
      <c r="Q92" s="25">
        <v>5.35</v>
      </c>
      <c r="R92" s="26">
        <f t="shared" si="3"/>
        <v>0.94143333333333334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756.67920000000004</v>
      </c>
      <c r="E93" s="25">
        <v>39.044699999999999</v>
      </c>
      <c r="F93" s="25">
        <v>39.454700000000003</v>
      </c>
      <c r="G93" s="25">
        <v>39.707700000000003</v>
      </c>
      <c r="H93" s="25">
        <v>3356.13</v>
      </c>
      <c r="I93" s="25">
        <v>5.36</v>
      </c>
      <c r="J93" s="26">
        <f t="shared" si="2"/>
        <v>0.93225833333333341</v>
      </c>
      <c r="L93" s="24">
        <v>756.67920000000004</v>
      </c>
      <c r="M93" s="25">
        <v>39.044699999999999</v>
      </c>
      <c r="N93" s="25">
        <v>39.454700000000003</v>
      </c>
      <c r="O93" s="25">
        <v>39.707700000000003</v>
      </c>
      <c r="P93" s="25">
        <v>3333.81</v>
      </c>
      <c r="Q93" s="25">
        <v>5.34</v>
      </c>
      <c r="R93" s="26">
        <f t="shared" si="3"/>
        <v>0.92605833333333332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572.43439999999998</v>
      </c>
      <c r="E94" s="34">
        <v>34.342599999999997</v>
      </c>
      <c r="F94" s="34">
        <v>38.270600000000002</v>
      </c>
      <c r="G94" s="34">
        <v>38.054299999999998</v>
      </c>
      <c r="H94" s="34">
        <v>3304.9</v>
      </c>
      <c r="I94" s="34">
        <v>5.24</v>
      </c>
      <c r="J94" s="35">
        <f t="shared" si="2"/>
        <v>0.91802777777777778</v>
      </c>
      <c r="L94" s="33">
        <v>572.43439999999998</v>
      </c>
      <c r="M94" s="34">
        <v>34.342599999999997</v>
      </c>
      <c r="N94" s="34">
        <v>38.270600000000002</v>
      </c>
      <c r="O94" s="34">
        <v>38.054299999999998</v>
      </c>
      <c r="P94" s="34">
        <v>3309.77</v>
      </c>
      <c r="Q94" s="34">
        <v>5.17</v>
      </c>
      <c r="R94" s="35">
        <f t="shared" si="3"/>
        <v>0.91938055555555553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811.42660000000001</v>
      </c>
      <c r="E95" s="15">
        <v>50.281999999999996</v>
      </c>
      <c r="F95" s="15">
        <v>53.189599999999999</v>
      </c>
      <c r="G95" s="15">
        <v>54.188200000000002</v>
      </c>
      <c r="H95" s="15">
        <v>6573.26</v>
      </c>
      <c r="I95" s="15">
        <v>10.74</v>
      </c>
      <c r="J95" s="16">
        <f t="shared" si="2"/>
        <v>1.8259055555555557</v>
      </c>
      <c r="L95" s="14">
        <v>811.42660000000001</v>
      </c>
      <c r="M95" s="15">
        <v>50.281999999999996</v>
      </c>
      <c r="N95" s="15">
        <v>53.189599999999999</v>
      </c>
      <c r="O95" s="15">
        <v>54.188200000000002</v>
      </c>
      <c r="P95" s="15">
        <v>6709.85</v>
      </c>
      <c r="Q95" s="15">
        <v>10.79</v>
      </c>
      <c r="R95" s="16">
        <f t="shared" si="3"/>
        <v>1.8638472222222224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506.18689999999998</v>
      </c>
      <c r="E96" s="25">
        <v>46.513300000000001</v>
      </c>
      <c r="F96" s="25">
        <v>49.923900000000003</v>
      </c>
      <c r="G96" s="25">
        <v>51.166200000000003</v>
      </c>
      <c r="H96" s="25">
        <v>6357.73</v>
      </c>
      <c r="I96" s="25">
        <v>10.02</v>
      </c>
      <c r="J96" s="26">
        <f t="shared" si="2"/>
        <v>1.7660361111111109</v>
      </c>
      <c r="L96" s="24">
        <v>506.18689999999998</v>
      </c>
      <c r="M96" s="25">
        <v>46.513300000000001</v>
      </c>
      <c r="N96" s="25">
        <v>49.923900000000003</v>
      </c>
      <c r="O96" s="25">
        <v>51.166200000000003</v>
      </c>
      <c r="P96" s="25">
        <v>6328.2</v>
      </c>
      <c r="Q96" s="25">
        <v>10.07</v>
      </c>
      <c r="R96" s="26">
        <f t="shared" si="3"/>
        <v>1.7578333333333334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324.60700000000003</v>
      </c>
      <c r="E97" s="25">
        <v>42.9116</v>
      </c>
      <c r="F97" s="25">
        <v>47.337600000000002</v>
      </c>
      <c r="G97" s="25">
        <v>48.665399999999998</v>
      </c>
      <c r="H97" s="25">
        <v>6054.15</v>
      </c>
      <c r="I97" s="25">
        <v>9.5399999999999991</v>
      </c>
      <c r="J97" s="26">
        <f t="shared" si="2"/>
        <v>1.6817083333333331</v>
      </c>
      <c r="L97" s="24">
        <v>324.60700000000003</v>
      </c>
      <c r="M97" s="25">
        <v>42.9116</v>
      </c>
      <c r="N97" s="25">
        <v>47.337600000000002</v>
      </c>
      <c r="O97" s="25">
        <v>48.665399999999998</v>
      </c>
      <c r="P97" s="25">
        <v>6044.85</v>
      </c>
      <c r="Q97" s="25">
        <v>9.6300000000000008</v>
      </c>
      <c r="R97" s="26">
        <f t="shared" si="3"/>
        <v>1.6791250000000002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215.89060000000001</v>
      </c>
      <c r="E98" s="34">
        <v>39.237699999999997</v>
      </c>
      <c r="F98" s="34">
        <v>45.345500000000001</v>
      </c>
      <c r="G98" s="34">
        <v>46.821399999999997</v>
      </c>
      <c r="H98" s="34">
        <v>5891.86</v>
      </c>
      <c r="I98" s="34">
        <v>9.19</v>
      </c>
      <c r="J98" s="35">
        <f t="shared" si="2"/>
        <v>1.6366277777777778</v>
      </c>
      <c r="L98" s="33">
        <v>215.89060000000001</v>
      </c>
      <c r="M98" s="34">
        <v>39.237699999999997</v>
      </c>
      <c r="N98" s="34">
        <v>45.345500000000001</v>
      </c>
      <c r="O98" s="34">
        <v>46.821399999999997</v>
      </c>
      <c r="P98" s="34">
        <v>5859.22</v>
      </c>
      <c r="Q98" s="34">
        <v>9.32</v>
      </c>
      <c r="R98" s="35">
        <f t="shared" si="3"/>
        <v>1.6275611111111112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20">
        <f t="shared" ref="T99:Y99" si="4">AVERAGE(T3,T7,T11,T15)</f>
        <v>0</v>
      </c>
      <c r="U99" s="21">
        <f t="shared" si="4"/>
        <v>0</v>
      </c>
      <c r="V99" s="21">
        <f t="shared" si="4"/>
        <v>0</v>
      </c>
      <c r="W99" s="20">
        <f t="shared" si="4"/>
        <v>0</v>
      </c>
      <c r="X99" s="21">
        <f t="shared" si="4"/>
        <v>0</v>
      </c>
      <c r="Y99" s="22">
        <f t="shared" si="4"/>
        <v>0</v>
      </c>
    </row>
    <row r="100" spans="1:25" x14ac:dyDescent="0.2">
      <c r="B100" s="23" t="s">
        <v>68</v>
      </c>
      <c r="T100" s="41">
        <f>AVERAGE(T3,T7)</f>
        <v>0</v>
      </c>
      <c r="U100" s="42">
        <f t="shared" ref="U100:Y100" si="5">AVERAGE(U3,U7)</f>
        <v>0</v>
      </c>
      <c r="V100" s="42">
        <f t="shared" si="5"/>
        <v>0</v>
      </c>
      <c r="W100" s="41">
        <f t="shared" si="5"/>
        <v>0</v>
      </c>
      <c r="X100" s="42">
        <f t="shared" si="5"/>
        <v>0</v>
      </c>
      <c r="Y100" s="43">
        <f t="shared" si="5"/>
        <v>0</v>
      </c>
    </row>
    <row r="101" spans="1:25" x14ac:dyDescent="0.2">
      <c r="B101" s="23" t="s">
        <v>7</v>
      </c>
      <c r="T101" s="41">
        <f t="shared" ref="T101:Y101" si="6">AVERAGE(T19,T23,T27,T31,T35)</f>
        <v>0</v>
      </c>
      <c r="U101" s="42">
        <f t="shared" si="6"/>
        <v>0</v>
      </c>
      <c r="V101" s="42">
        <f t="shared" si="6"/>
        <v>0</v>
      </c>
      <c r="W101" s="41">
        <f t="shared" si="6"/>
        <v>0</v>
      </c>
      <c r="X101" s="42">
        <f t="shared" si="6"/>
        <v>0</v>
      </c>
      <c r="Y101" s="43">
        <f t="shared" si="6"/>
        <v>0</v>
      </c>
    </row>
    <row r="102" spans="1:25" x14ac:dyDescent="0.2">
      <c r="B102" s="23" t="s">
        <v>14</v>
      </c>
      <c r="T102" s="41">
        <f t="shared" ref="T102:Y102" si="7">AVERAGE(T39,T43,T47,T51)</f>
        <v>0</v>
      </c>
      <c r="U102" s="42">
        <f t="shared" si="7"/>
        <v>0</v>
      </c>
      <c r="V102" s="42">
        <f t="shared" si="7"/>
        <v>0</v>
      </c>
      <c r="W102" s="41">
        <f t="shared" si="7"/>
        <v>0</v>
      </c>
      <c r="X102" s="42">
        <f t="shared" si="7"/>
        <v>0</v>
      </c>
      <c r="Y102" s="43">
        <f t="shared" si="7"/>
        <v>0</v>
      </c>
    </row>
    <row r="103" spans="1:25" x14ac:dyDescent="0.2">
      <c r="B103" s="23" t="s">
        <v>20</v>
      </c>
      <c r="T103" s="41">
        <f t="shared" ref="T103:Y103" si="8">AVERAGE(T55,T59,T63,T67)</f>
        <v>0</v>
      </c>
      <c r="U103" s="42">
        <f t="shared" si="8"/>
        <v>0</v>
      </c>
      <c r="V103" s="42">
        <f t="shared" si="8"/>
        <v>0</v>
      </c>
      <c r="W103" s="41">
        <f t="shared" si="8"/>
        <v>0</v>
      </c>
      <c r="X103" s="42">
        <f t="shared" si="8"/>
        <v>0</v>
      </c>
      <c r="Y103" s="43">
        <f t="shared" si="8"/>
        <v>0</v>
      </c>
    </row>
    <row r="104" spans="1:25" x14ac:dyDescent="0.2">
      <c r="B104" s="23" t="s">
        <v>27</v>
      </c>
      <c r="T104" s="83"/>
      <c r="U104" s="84"/>
      <c r="V104" s="84"/>
      <c r="W104" s="83"/>
      <c r="X104" s="84"/>
      <c r="Y104" s="85"/>
    </row>
    <row r="105" spans="1:25" ht="12.75" thickBot="1" x14ac:dyDescent="0.25">
      <c r="B105" s="23" t="s">
        <v>63</v>
      </c>
      <c r="T105" s="41">
        <f t="shared" ref="T105:Y105" si="9">AVERAGE(T83,T87,T91,T95)</f>
        <v>0</v>
      </c>
      <c r="U105" s="42">
        <f t="shared" si="9"/>
        <v>0</v>
      </c>
      <c r="V105" s="42">
        <f t="shared" si="9"/>
        <v>0</v>
      </c>
      <c r="W105" s="41">
        <f t="shared" si="9"/>
        <v>0</v>
      </c>
      <c r="X105" s="42">
        <f t="shared" si="9"/>
        <v>0</v>
      </c>
      <c r="Y105" s="43">
        <f t="shared" si="9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10">AVERAGE(T3:T98)</f>
        <v>0</v>
      </c>
      <c r="U106" s="46">
        <f t="shared" si="10"/>
        <v>0</v>
      </c>
      <c r="V106" s="47">
        <f t="shared" si="10"/>
        <v>0</v>
      </c>
      <c r="W106" s="46">
        <f t="shared" si="10"/>
        <v>0</v>
      </c>
      <c r="X106" s="46">
        <f t="shared" si="10"/>
        <v>0</v>
      </c>
      <c r="Y106" s="47">
        <f t="shared" si="10"/>
        <v>0</v>
      </c>
    </row>
    <row r="107" spans="1:25" x14ac:dyDescent="0.2">
      <c r="B107" s="13" t="s">
        <v>29</v>
      </c>
      <c r="I107" s="95">
        <f>GEOMEAN(I3:I98)</f>
        <v>10.497379253553831</v>
      </c>
      <c r="J107" s="92">
        <f>GEOMEAN(J3:J98)</f>
        <v>1.7257024286891944</v>
      </c>
      <c r="Q107" s="95">
        <f>GEOMEAN(Q3:Q98)</f>
        <v>10.465943309818268</v>
      </c>
      <c r="R107" s="92">
        <f>GEOMEAN(R3:R98)</f>
        <v>1.7209642071517095</v>
      </c>
    </row>
    <row r="108" spans="1:25" ht="12.75" thickBot="1" x14ac:dyDescent="0.25">
      <c r="B108" s="23" t="s">
        <v>30</v>
      </c>
      <c r="I108" s="96">
        <f>SUM(I3:I98)/3600</f>
        <v>0.40602777777777793</v>
      </c>
      <c r="J108" s="94">
        <f>SUM(J3:J98)</f>
        <v>251.07921666666667</v>
      </c>
      <c r="Q108" s="96">
        <f>SUM(Q3:Q98)/3600</f>
        <v>0.40420555555555565</v>
      </c>
      <c r="R108" s="94">
        <f>SUM(R3:R98)</f>
        <v>250.36159999999992</v>
      </c>
    </row>
    <row r="109" spans="1:25" ht="12.75" thickBot="1" x14ac:dyDescent="0.25">
      <c r="B109" s="32" t="s">
        <v>98</v>
      </c>
      <c r="T109" s="97">
        <f>Q107/I107</f>
        <v>0.99700535314803262</v>
      </c>
      <c r="U109" s="98">
        <f>R107/J107</f>
        <v>0.99725432295932737</v>
      </c>
    </row>
    <row r="110" spans="1:25" x14ac:dyDescent="0.2">
      <c r="T110" s="93"/>
      <c r="U110" s="93"/>
    </row>
    <row r="111" spans="1:25" ht="12.75" thickBot="1" x14ac:dyDescent="0.25"/>
    <row r="112" spans="1:25" ht="12.75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1">AVERAGE(T3:T10, T19:T98)</f>
        <v>0</v>
      </c>
      <c r="U112" s="46">
        <f t="shared" si="11"/>
        <v>0</v>
      </c>
      <c r="V112" s="47">
        <f t="shared" si="11"/>
        <v>0</v>
      </c>
      <c r="W112" s="46">
        <f t="shared" si="11"/>
        <v>0</v>
      </c>
      <c r="X112" s="46">
        <f t="shared" si="11"/>
        <v>0</v>
      </c>
      <c r="Y112" s="47">
        <f t="shared" si="11"/>
        <v>0</v>
      </c>
    </row>
    <row r="113" spans="1:25" ht="12.75" customHeight="1" x14ac:dyDescent="0.2">
      <c r="B113" s="13" t="s">
        <v>29</v>
      </c>
      <c r="I113" s="95">
        <f>GEOMEAN(I3:I10, I19:I82)</f>
        <v>9.1241751172992078</v>
      </c>
      <c r="J113" s="92">
        <f t="shared" ref="J113:R113" si="12">GEOMEAN(J3:J10, J19:J82)</f>
        <v>1.4443048000001704</v>
      </c>
      <c r="Q113" s="95">
        <f t="shared" si="12"/>
        <v>9.0944012113157768</v>
      </c>
      <c r="R113" s="92">
        <f t="shared" si="12"/>
        <v>1.4400936872086496</v>
      </c>
    </row>
    <row r="114" spans="1:25" ht="12.75" customHeight="1" thickBot="1" x14ac:dyDescent="0.25">
      <c r="B114" s="23" t="s">
        <v>30</v>
      </c>
      <c r="I114" s="96">
        <f>SUM(I3:I10, I19:I82)/3600</f>
        <v>0.25498888888888882</v>
      </c>
      <c r="J114" s="94">
        <f>SUM(J3:J10, J19:J82)</f>
        <v>150.29182222222215</v>
      </c>
      <c r="Q114" s="96">
        <f t="shared" ref="Q114" si="13">SUM(Q3:Q10, Q19:Q82)/3600</f>
        <v>0.25386388888888889</v>
      </c>
      <c r="R114" s="94">
        <f>SUM(R3:R10, R19:R82)</f>
        <v>149.85459166666666</v>
      </c>
    </row>
    <row r="115" spans="1:25" ht="12.75" customHeight="1" thickBot="1" x14ac:dyDescent="0.25">
      <c r="B115" s="32" t="s">
        <v>98</v>
      </c>
      <c r="T115" s="97">
        <f>Q113/I113</f>
        <v>0.99673681120751612</v>
      </c>
      <c r="U115" s="98">
        <f>R113/J113</f>
        <v>0.99708433234347749</v>
      </c>
    </row>
    <row r="116" spans="1:25" ht="12.7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</row>
    <row r="117" spans="1:25" ht="12.7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</row>
    <row r="118" spans="1:25" customFormat="1" ht="12.75" customHeight="1" x14ac:dyDescent="0.15"/>
    <row r="119" spans="1:25" customFormat="1" ht="12.75" customHeight="1" x14ac:dyDescent="0.15"/>
    <row r="120" spans="1:25" ht="12.7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</row>
    <row r="121" spans="1:25" ht="12.7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</row>
    <row r="122" spans="1:25" ht="12.7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</row>
    <row r="123" spans="1:25" ht="12.7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</row>
    <row r="124" spans="1:25" ht="12.7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</row>
    <row r="125" spans="1:25" ht="12.7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</row>
    <row r="126" spans="1:25" ht="12.7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</row>
    <row r="127" spans="1:25" ht="12.7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</row>
    <row r="128" spans="1:25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</sheetData>
  <mergeCells count="4">
    <mergeCell ref="D1:J1"/>
    <mergeCell ref="L1:R1"/>
    <mergeCell ref="T1:V1"/>
    <mergeCell ref="W1:Y1"/>
  </mergeCells>
  <phoneticPr fontId="7" type="noConversion"/>
  <conditionalFormatting sqref="W18:X18 T3:V104 W3:Y3 W7:Y7 W19:Y19 W23:Y23 W27:Y27 W31:Y31 W35:Y35 W39:Y39 W43:Y43 W47:Y47 W51:Y51 W55:Y55 W59:Y59 W63:Y63 W67:Y67 W71:Y71 W75:Y75 W79:Y79 W6:X6 W10:X10 W22:X22 W26:X26 W30:X30 W34:X34 W38:X38 W42:X42 W46:X46 W50:X50 W54:X54 W58:X58 W62:X62 W66:X66 W70:X70 W74:X74 W78:X78 W98:X98 W83:Y83 W87:Y87 W91:Y91 W95:Y95 W86:X86 W90:X90 W94:X94 W11:Y11 W14:X14 W15:Y15 W99:Y104">
    <cfRule type="cellIs" dxfId="53" priority="13" operator="greaterThan">
      <formula>0.03</formula>
    </cfRule>
    <cfRule type="cellIs" dxfId="52" priority="14" stopIfTrue="1" operator="lessThan">
      <formula>-0.03</formula>
    </cfRule>
  </conditionalFormatting>
  <conditionalFormatting sqref="T105:Y106">
    <cfRule type="cellIs" dxfId="51" priority="3" operator="greaterThan">
      <formula>0.03</formula>
    </cfRule>
    <cfRule type="cellIs" dxfId="50" priority="4" stopIfTrue="1" operator="lessThan">
      <formula>-0.03</formula>
    </cfRule>
  </conditionalFormatting>
  <conditionalFormatting sqref="T112:Y112">
    <cfRule type="cellIs" dxfId="49" priority="1" operator="greaterThan">
      <formula>0.03</formula>
    </cfRule>
    <cfRule type="cellIs" dxfId="4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5202.1048000000001</v>
      </c>
      <c r="E19" s="15">
        <v>41.681899999999999</v>
      </c>
      <c r="F19" s="15">
        <v>43.2547</v>
      </c>
      <c r="G19" s="15">
        <v>44.752000000000002</v>
      </c>
      <c r="H19" s="15">
        <v>18797.009999999998</v>
      </c>
      <c r="I19" s="15">
        <v>22.69</v>
      </c>
      <c r="J19" s="16">
        <f t="shared" ref="J19:J67" si="0">secToHours(H19)</f>
        <v>5.2213916666666664</v>
      </c>
      <c r="L19" s="14">
        <v>5202.1048000000001</v>
      </c>
      <c r="M19" s="15">
        <v>41.681899999999999</v>
      </c>
      <c r="N19" s="15">
        <v>43.2547</v>
      </c>
      <c r="O19" s="15">
        <v>44.752000000000002</v>
      </c>
      <c r="P19" s="15">
        <v>18821.7</v>
      </c>
      <c r="Q19" s="15">
        <v>22.98</v>
      </c>
      <c r="R19" s="16">
        <f t="shared" ref="R19:R67" si="1">secToHours(P19)</f>
        <v>5.2282500000000001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2401.9191999999998</v>
      </c>
      <c r="E20" s="25">
        <v>39.660600000000002</v>
      </c>
      <c r="F20" s="25">
        <v>41.621600000000001</v>
      </c>
      <c r="G20" s="25">
        <v>42.801200000000001</v>
      </c>
      <c r="H20" s="25">
        <v>15971.93</v>
      </c>
      <c r="I20" s="25">
        <v>18.350000000000001</v>
      </c>
      <c r="J20" s="26">
        <f t="shared" si="0"/>
        <v>4.4366472222222226</v>
      </c>
      <c r="L20" s="24">
        <v>2401.9191999999998</v>
      </c>
      <c r="M20" s="25">
        <v>39.660600000000002</v>
      </c>
      <c r="N20" s="25">
        <v>41.621600000000001</v>
      </c>
      <c r="O20" s="25">
        <v>42.801200000000001</v>
      </c>
      <c r="P20" s="25">
        <v>15856.77</v>
      </c>
      <c r="Q20" s="25">
        <v>18.04</v>
      </c>
      <c r="R20" s="26">
        <f t="shared" si="1"/>
        <v>4.4046583333333338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1149.7303999999999</v>
      </c>
      <c r="E21" s="25">
        <v>37.129399999999997</v>
      </c>
      <c r="F21" s="25">
        <v>40.308100000000003</v>
      </c>
      <c r="G21" s="25">
        <v>41.486800000000002</v>
      </c>
      <c r="H21" s="25">
        <v>13724.02</v>
      </c>
      <c r="I21" s="25">
        <v>15.22</v>
      </c>
      <c r="J21" s="26">
        <f t="shared" si="0"/>
        <v>3.8122277777777778</v>
      </c>
      <c r="L21" s="24">
        <v>1149.7303999999999</v>
      </c>
      <c r="M21" s="25">
        <v>37.129399999999997</v>
      </c>
      <c r="N21" s="25">
        <v>40.308100000000003</v>
      </c>
      <c r="O21" s="25">
        <v>41.486800000000002</v>
      </c>
      <c r="P21" s="25">
        <v>13651.37</v>
      </c>
      <c r="Q21" s="25">
        <v>15.39</v>
      </c>
      <c r="R21" s="26">
        <f t="shared" si="1"/>
        <v>3.7920472222222226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563.10720000000003</v>
      </c>
      <c r="E22" s="34">
        <v>34.539499999999997</v>
      </c>
      <c r="F22" s="34">
        <v>39.493699999999997</v>
      </c>
      <c r="G22" s="34">
        <v>40.783700000000003</v>
      </c>
      <c r="H22" s="34">
        <v>12137.89</v>
      </c>
      <c r="I22" s="34">
        <v>13.15</v>
      </c>
      <c r="J22" s="35">
        <f t="shared" si="0"/>
        <v>3.3716361111111111</v>
      </c>
      <c r="L22" s="33">
        <v>563.10720000000003</v>
      </c>
      <c r="M22" s="34">
        <v>34.539499999999997</v>
      </c>
      <c r="N22" s="34">
        <v>39.493699999999997</v>
      </c>
      <c r="O22" s="34">
        <v>40.783700000000003</v>
      </c>
      <c r="P22" s="34">
        <v>12118.86</v>
      </c>
      <c r="Q22" s="34">
        <v>13.18</v>
      </c>
      <c r="R22" s="35">
        <f t="shared" si="1"/>
        <v>3.3663500000000002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7960.2280000000001</v>
      </c>
      <c r="E23" s="15">
        <v>39.909399999999998</v>
      </c>
      <c r="F23" s="15">
        <v>41.930500000000002</v>
      </c>
      <c r="G23" s="15">
        <v>43.069499999999998</v>
      </c>
      <c r="H23" s="15">
        <v>17112.22</v>
      </c>
      <c r="I23" s="15">
        <v>25.58</v>
      </c>
      <c r="J23" s="16">
        <f t="shared" si="0"/>
        <v>4.7533944444444449</v>
      </c>
      <c r="L23" s="14">
        <v>7960.2280000000001</v>
      </c>
      <c r="M23" s="15">
        <v>39.909399999999998</v>
      </c>
      <c r="N23" s="15">
        <v>41.930500000000002</v>
      </c>
      <c r="O23" s="15">
        <v>43.069499999999998</v>
      </c>
      <c r="P23" s="15">
        <v>17049.11</v>
      </c>
      <c r="Q23" s="15">
        <v>25.79</v>
      </c>
      <c r="R23" s="16">
        <f t="shared" si="1"/>
        <v>4.7358638888888889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3167.3047999999999</v>
      </c>
      <c r="E24" s="25">
        <v>36.9908</v>
      </c>
      <c r="F24" s="25">
        <v>39.783900000000003</v>
      </c>
      <c r="G24" s="25">
        <v>40.7986</v>
      </c>
      <c r="H24" s="25">
        <v>13719.88</v>
      </c>
      <c r="I24" s="25">
        <v>18.96</v>
      </c>
      <c r="J24" s="26">
        <f t="shared" si="0"/>
        <v>3.8110777777777773</v>
      </c>
      <c r="L24" s="24">
        <v>3167.3047999999999</v>
      </c>
      <c r="M24" s="25">
        <v>36.9908</v>
      </c>
      <c r="N24" s="25">
        <v>39.783900000000003</v>
      </c>
      <c r="O24" s="25">
        <v>40.7986</v>
      </c>
      <c r="P24" s="25">
        <v>13674.95</v>
      </c>
      <c r="Q24" s="25">
        <v>18.510000000000002</v>
      </c>
      <c r="R24" s="26">
        <f t="shared" si="1"/>
        <v>3.7985972222222224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1334.9767999999999</v>
      </c>
      <c r="E25" s="25">
        <v>34.186999999999998</v>
      </c>
      <c r="F25" s="25">
        <v>38.137099999999997</v>
      </c>
      <c r="G25" s="25">
        <v>39.396000000000001</v>
      </c>
      <c r="H25" s="25">
        <v>11800.12</v>
      </c>
      <c r="I25" s="25">
        <v>14.79</v>
      </c>
      <c r="J25" s="26">
        <f t="shared" si="0"/>
        <v>3.2778111111111112</v>
      </c>
      <c r="L25" s="24">
        <v>1334.9767999999999</v>
      </c>
      <c r="M25" s="25">
        <v>34.186999999999998</v>
      </c>
      <c r="N25" s="25">
        <v>38.137099999999997</v>
      </c>
      <c r="O25" s="25">
        <v>39.396000000000001</v>
      </c>
      <c r="P25" s="25">
        <v>11733.26</v>
      </c>
      <c r="Q25" s="25">
        <v>15.22</v>
      </c>
      <c r="R25" s="26">
        <f t="shared" si="1"/>
        <v>3.259238888888889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576.34960000000001</v>
      </c>
      <c r="E26" s="34">
        <v>31.588000000000001</v>
      </c>
      <c r="F26" s="34">
        <v>37.017200000000003</v>
      </c>
      <c r="G26" s="34">
        <v>38.625599999999999</v>
      </c>
      <c r="H26" s="34">
        <v>10623.47</v>
      </c>
      <c r="I26" s="34">
        <v>12.25</v>
      </c>
      <c r="J26" s="35">
        <f t="shared" si="0"/>
        <v>2.9509638888888885</v>
      </c>
      <c r="L26" s="33">
        <v>576.34960000000001</v>
      </c>
      <c r="M26" s="34">
        <v>31.588000000000001</v>
      </c>
      <c r="N26" s="34">
        <v>37.017200000000003</v>
      </c>
      <c r="O26" s="34">
        <v>38.625599999999999</v>
      </c>
      <c r="P26" s="34">
        <v>10548</v>
      </c>
      <c r="Q26" s="34">
        <v>12.37</v>
      </c>
      <c r="R26" s="35">
        <f t="shared" si="1"/>
        <v>2.93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20043.056</v>
      </c>
      <c r="E27" s="15">
        <v>38.690199999999997</v>
      </c>
      <c r="F27" s="15">
        <v>40.097999999999999</v>
      </c>
      <c r="G27" s="15">
        <v>43.358800000000002</v>
      </c>
      <c r="H27" s="15">
        <v>37152.07</v>
      </c>
      <c r="I27" s="15">
        <v>50.75</v>
      </c>
      <c r="J27" s="16">
        <f t="shared" si="0"/>
        <v>10.320019444444444</v>
      </c>
      <c r="L27" s="14">
        <v>20043.056</v>
      </c>
      <c r="M27" s="15">
        <v>38.690199999999997</v>
      </c>
      <c r="N27" s="15">
        <v>40.097999999999999</v>
      </c>
      <c r="O27" s="15">
        <v>43.358800000000002</v>
      </c>
      <c r="P27" s="15">
        <v>37242.36</v>
      </c>
      <c r="Q27" s="15">
        <v>50.49</v>
      </c>
      <c r="R27" s="16">
        <f t="shared" si="1"/>
        <v>10.3451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5731.9279999999999</v>
      </c>
      <c r="E28" s="25">
        <v>36.702100000000002</v>
      </c>
      <c r="F28" s="25">
        <v>38.883899999999997</v>
      </c>
      <c r="G28" s="25">
        <v>41.406599999999997</v>
      </c>
      <c r="H28" s="25">
        <v>28303.040000000001</v>
      </c>
      <c r="I28" s="25">
        <v>33.67</v>
      </c>
      <c r="J28" s="26">
        <f t="shared" si="0"/>
        <v>7.8619555555555554</v>
      </c>
      <c r="L28" s="24">
        <v>5731.9279999999999</v>
      </c>
      <c r="M28" s="25">
        <v>36.702100000000002</v>
      </c>
      <c r="N28" s="25">
        <v>38.883899999999997</v>
      </c>
      <c r="O28" s="25">
        <v>41.406599999999997</v>
      </c>
      <c r="P28" s="25">
        <v>28320.79</v>
      </c>
      <c r="Q28" s="25">
        <v>33.33</v>
      </c>
      <c r="R28" s="26">
        <f t="shared" si="1"/>
        <v>7.8668861111111115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2572.3112000000001</v>
      </c>
      <c r="E29" s="25">
        <v>34.560200000000002</v>
      </c>
      <c r="F29" s="25">
        <v>37.924300000000002</v>
      </c>
      <c r="G29" s="25">
        <v>39.774900000000002</v>
      </c>
      <c r="H29" s="25">
        <v>24550.12</v>
      </c>
      <c r="I29" s="25">
        <v>28.05</v>
      </c>
      <c r="J29" s="26">
        <f t="shared" si="0"/>
        <v>6.8194777777777773</v>
      </c>
      <c r="L29" s="24">
        <v>2572.3112000000001</v>
      </c>
      <c r="M29" s="25">
        <v>34.560200000000002</v>
      </c>
      <c r="N29" s="25">
        <v>37.924300000000002</v>
      </c>
      <c r="O29" s="25">
        <v>39.774900000000002</v>
      </c>
      <c r="P29" s="25">
        <v>24419.09</v>
      </c>
      <c r="Q29" s="25">
        <v>27.65</v>
      </c>
      <c r="R29" s="26">
        <f t="shared" si="1"/>
        <v>6.7830805555555553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1269.1448</v>
      </c>
      <c r="E30" s="34">
        <v>32.260899999999999</v>
      </c>
      <c r="F30" s="34">
        <v>37.181699999999999</v>
      </c>
      <c r="G30" s="34">
        <v>38.559899999999999</v>
      </c>
      <c r="H30" s="34">
        <v>22148.28</v>
      </c>
      <c r="I30" s="34">
        <v>23.92</v>
      </c>
      <c r="J30" s="35">
        <f t="shared" si="0"/>
        <v>6.1522999999999994</v>
      </c>
      <c r="L30" s="33">
        <v>1269.1448</v>
      </c>
      <c r="M30" s="34">
        <v>32.260899999999999</v>
      </c>
      <c r="N30" s="34">
        <v>37.181699999999999</v>
      </c>
      <c r="O30" s="34">
        <v>38.559899999999999</v>
      </c>
      <c r="P30" s="34">
        <v>22070.45</v>
      </c>
      <c r="Q30" s="34">
        <v>24.12</v>
      </c>
      <c r="R30" s="35">
        <f t="shared" si="1"/>
        <v>6.1306805555555561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19833.828799999999</v>
      </c>
      <c r="E31" s="15">
        <v>39.416600000000003</v>
      </c>
      <c r="F31" s="15">
        <v>43.626399999999997</v>
      </c>
      <c r="G31" s="15">
        <v>44.827100000000002</v>
      </c>
      <c r="H31" s="15">
        <v>44044.65</v>
      </c>
      <c r="I31" s="15">
        <v>55.77</v>
      </c>
      <c r="J31" s="16">
        <f t="shared" si="0"/>
        <v>12.234625000000001</v>
      </c>
      <c r="L31" s="14">
        <v>19833.828799999999</v>
      </c>
      <c r="M31" s="15">
        <v>39.416600000000003</v>
      </c>
      <c r="N31" s="15">
        <v>43.626399999999997</v>
      </c>
      <c r="O31" s="15">
        <v>44.827100000000002</v>
      </c>
      <c r="P31" s="15">
        <v>44431.08</v>
      </c>
      <c r="Q31" s="15">
        <v>55.91</v>
      </c>
      <c r="R31" s="16">
        <f t="shared" si="1"/>
        <v>12.341966666666668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6747.6639999999998</v>
      </c>
      <c r="E32" s="25">
        <v>37.497599999999998</v>
      </c>
      <c r="F32" s="25">
        <v>42.202800000000003</v>
      </c>
      <c r="G32" s="25">
        <v>42.663499999999999</v>
      </c>
      <c r="H32" s="25">
        <v>35161.08</v>
      </c>
      <c r="I32" s="25">
        <v>41.49</v>
      </c>
      <c r="J32" s="26">
        <f t="shared" si="0"/>
        <v>9.7669666666666668</v>
      </c>
      <c r="L32" s="24">
        <v>6747.6639999999998</v>
      </c>
      <c r="M32" s="25">
        <v>37.497599999999998</v>
      </c>
      <c r="N32" s="25">
        <v>42.202800000000003</v>
      </c>
      <c r="O32" s="25">
        <v>42.663499999999999</v>
      </c>
      <c r="P32" s="25">
        <v>35166.120000000003</v>
      </c>
      <c r="Q32" s="25">
        <v>41.37</v>
      </c>
      <c r="R32" s="26">
        <f t="shared" si="1"/>
        <v>9.7683666666666671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3112.2303999999999</v>
      </c>
      <c r="E33" s="25">
        <v>35.5139</v>
      </c>
      <c r="F33" s="25">
        <v>40.820099999999996</v>
      </c>
      <c r="G33" s="25">
        <v>40.704900000000002</v>
      </c>
      <c r="H33" s="25">
        <v>30003.16</v>
      </c>
      <c r="I33" s="25">
        <v>33.68</v>
      </c>
      <c r="J33" s="26">
        <f t="shared" si="0"/>
        <v>8.3342111111111112</v>
      </c>
      <c r="L33" s="24">
        <v>3112.2303999999999</v>
      </c>
      <c r="M33" s="25">
        <v>35.5139</v>
      </c>
      <c r="N33" s="25">
        <v>40.820099999999996</v>
      </c>
      <c r="O33" s="25">
        <v>40.704900000000002</v>
      </c>
      <c r="P33" s="25">
        <v>29876.43</v>
      </c>
      <c r="Q33" s="25">
        <v>33.25</v>
      </c>
      <c r="R33" s="26">
        <f t="shared" si="1"/>
        <v>8.2990083333333331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1584.8344</v>
      </c>
      <c r="E34" s="34">
        <v>33.384</v>
      </c>
      <c r="F34" s="34">
        <v>39.860399999999998</v>
      </c>
      <c r="G34" s="34">
        <v>39.403300000000002</v>
      </c>
      <c r="H34" s="34">
        <v>26453.26</v>
      </c>
      <c r="I34" s="34">
        <v>28.98</v>
      </c>
      <c r="J34" s="35">
        <f t="shared" si="0"/>
        <v>7.3481277777777771</v>
      </c>
      <c r="L34" s="33">
        <v>1584.8344</v>
      </c>
      <c r="M34" s="34">
        <v>33.384</v>
      </c>
      <c r="N34" s="34">
        <v>39.860399999999998</v>
      </c>
      <c r="O34" s="34">
        <v>39.403300000000002</v>
      </c>
      <c r="P34" s="34">
        <v>26318.14</v>
      </c>
      <c r="Q34" s="34">
        <v>28.41</v>
      </c>
      <c r="R34" s="35">
        <f t="shared" si="1"/>
        <v>7.310594444444444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52819.1872</v>
      </c>
      <c r="E35" s="15">
        <v>38.242699999999999</v>
      </c>
      <c r="F35" s="15">
        <v>41.959099999999999</v>
      </c>
      <c r="G35" s="15">
        <v>44.094700000000003</v>
      </c>
      <c r="H35" s="15">
        <v>51753.27</v>
      </c>
      <c r="I35" s="15">
        <v>86.8</v>
      </c>
      <c r="J35" s="16">
        <f t="shared" si="0"/>
        <v>14.375908333333333</v>
      </c>
      <c r="L35" s="14">
        <v>52819.1872</v>
      </c>
      <c r="M35" s="15">
        <v>38.242699999999999</v>
      </c>
      <c r="N35" s="15">
        <v>41.959099999999999</v>
      </c>
      <c r="O35" s="15">
        <v>44.094700000000003</v>
      </c>
      <c r="P35" s="15">
        <v>51568.82</v>
      </c>
      <c r="Q35" s="15">
        <v>86.22</v>
      </c>
      <c r="R35" s="16">
        <f t="shared" si="1"/>
        <v>14.324672222222222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7561.8095999999996</v>
      </c>
      <c r="E36" s="25">
        <v>35.404800000000002</v>
      </c>
      <c r="F36" s="25">
        <v>40.443600000000004</v>
      </c>
      <c r="G36" s="25">
        <v>42.814999999999998</v>
      </c>
      <c r="H36" s="25">
        <v>31818.63</v>
      </c>
      <c r="I36" s="25">
        <v>45.05</v>
      </c>
      <c r="J36" s="26">
        <f t="shared" si="0"/>
        <v>8.8385083333333334</v>
      </c>
      <c r="L36" s="24">
        <v>7561.8095999999996</v>
      </c>
      <c r="M36" s="25">
        <v>35.404800000000002</v>
      </c>
      <c r="N36" s="25">
        <v>40.443600000000004</v>
      </c>
      <c r="O36" s="25">
        <v>42.814999999999998</v>
      </c>
      <c r="P36" s="25">
        <v>31497.69</v>
      </c>
      <c r="Q36" s="25">
        <v>44.63</v>
      </c>
      <c r="R36" s="26">
        <f t="shared" si="1"/>
        <v>8.7493583333333333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1989.4784</v>
      </c>
      <c r="E37" s="25">
        <v>33.582000000000001</v>
      </c>
      <c r="F37" s="25">
        <v>39.137500000000003</v>
      </c>
      <c r="G37" s="25">
        <v>41.746600000000001</v>
      </c>
      <c r="H37" s="25">
        <v>26051.37</v>
      </c>
      <c r="I37" s="25">
        <v>33.76</v>
      </c>
      <c r="J37" s="26">
        <f t="shared" si="0"/>
        <v>7.2364916666666668</v>
      </c>
      <c r="L37" s="24">
        <v>1989.4784</v>
      </c>
      <c r="M37" s="25">
        <v>33.582000000000001</v>
      </c>
      <c r="N37" s="25">
        <v>39.137500000000003</v>
      </c>
      <c r="O37" s="25">
        <v>41.746600000000001</v>
      </c>
      <c r="P37" s="25">
        <v>25865.88</v>
      </c>
      <c r="Q37" s="25">
        <v>33.130000000000003</v>
      </c>
      <c r="R37" s="26">
        <f t="shared" si="1"/>
        <v>7.1849666666666669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761.30719999999997</v>
      </c>
      <c r="E38" s="34">
        <v>31.376200000000001</v>
      </c>
      <c r="F38" s="34">
        <v>38.262099999999997</v>
      </c>
      <c r="G38" s="34">
        <v>40.965699999999998</v>
      </c>
      <c r="H38" s="34">
        <v>23753.7</v>
      </c>
      <c r="I38" s="34">
        <v>28.8</v>
      </c>
      <c r="J38" s="35">
        <f t="shared" si="0"/>
        <v>6.5982500000000002</v>
      </c>
      <c r="L38" s="33">
        <v>761.30719999999997</v>
      </c>
      <c r="M38" s="34">
        <v>31.376200000000001</v>
      </c>
      <c r="N38" s="34">
        <v>38.262099999999997</v>
      </c>
      <c r="O38" s="34">
        <v>40.965699999999998</v>
      </c>
      <c r="P38" s="34">
        <v>23608.49</v>
      </c>
      <c r="Q38" s="34">
        <v>28.87</v>
      </c>
      <c r="R38" s="35">
        <f t="shared" si="1"/>
        <v>6.5579138888888897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3669.3912</v>
      </c>
      <c r="E39" s="15">
        <v>40.252400000000002</v>
      </c>
      <c r="F39" s="15">
        <v>42.692500000000003</v>
      </c>
      <c r="G39" s="15">
        <v>43.2333</v>
      </c>
      <c r="H39" s="15">
        <v>7677.76</v>
      </c>
      <c r="I39" s="15">
        <v>10.25</v>
      </c>
      <c r="J39" s="16">
        <f t="shared" si="0"/>
        <v>2.132711111111111</v>
      </c>
      <c r="L39" s="14">
        <v>3669.3912</v>
      </c>
      <c r="M39" s="15">
        <v>40.252400000000002</v>
      </c>
      <c r="N39" s="15">
        <v>42.692500000000003</v>
      </c>
      <c r="O39" s="15">
        <v>43.2333</v>
      </c>
      <c r="P39" s="15">
        <v>7672.96</v>
      </c>
      <c r="Q39" s="15">
        <v>10.36</v>
      </c>
      <c r="R39" s="16">
        <f t="shared" si="1"/>
        <v>2.1313777777777778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1721.6063999999999</v>
      </c>
      <c r="E40" s="25">
        <v>37.026800000000001</v>
      </c>
      <c r="F40" s="25">
        <v>40.098300000000002</v>
      </c>
      <c r="G40" s="25">
        <v>40.438400000000001</v>
      </c>
      <c r="H40" s="25">
        <v>6431.1</v>
      </c>
      <c r="I40" s="25">
        <v>8.1999999999999993</v>
      </c>
      <c r="J40" s="26">
        <f t="shared" si="0"/>
        <v>1.7864166666666668</v>
      </c>
      <c r="L40" s="24">
        <v>1721.6063999999999</v>
      </c>
      <c r="M40" s="25">
        <v>37.026800000000001</v>
      </c>
      <c r="N40" s="25">
        <v>40.098300000000002</v>
      </c>
      <c r="O40" s="25">
        <v>40.438400000000001</v>
      </c>
      <c r="P40" s="25">
        <v>6447.65</v>
      </c>
      <c r="Q40" s="25">
        <v>8.2100000000000009</v>
      </c>
      <c r="R40" s="26">
        <f t="shared" si="1"/>
        <v>1.7910138888888887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818.63279999999997</v>
      </c>
      <c r="E41" s="25">
        <v>34.099899999999998</v>
      </c>
      <c r="F41" s="25">
        <v>38.061199999999999</v>
      </c>
      <c r="G41" s="25">
        <v>38.245699999999999</v>
      </c>
      <c r="H41" s="25">
        <v>5464.34</v>
      </c>
      <c r="I41" s="25">
        <v>6.48</v>
      </c>
      <c r="J41" s="26">
        <f t="shared" si="0"/>
        <v>1.5178722222222223</v>
      </c>
      <c r="L41" s="24">
        <v>818.63279999999997</v>
      </c>
      <c r="M41" s="25">
        <v>34.099899999999998</v>
      </c>
      <c r="N41" s="25">
        <v>38.061199999999999</v>
      </c>
      <c r="O41" s="25">
        <v>38.245699999999999</v>
      </c>
      <c r="P41" s="25">
        <v>5451.42</v>
      </c>
      <c r="Q41" s="25">
        <v>6.47</v>
      </c>
      <c r="R41" s="26">
        <f t="shared" si="1"/>
        <v>1.5142833333333334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418.17599999999999</v>
      </c>
      <c r="E42" s="34">
        <v>31.638300000000001</v>
      </c>
      <c r="F42" s="34">
        <v>36.627299999999998</v>
      </c>
      <c r="G42" s="34">
        <v>36.762700000000002</v>
      </c>
      <c r="H42" s="34">
        <v>4780.09</v>
      </c>
      <c r="I42" s="34">
        <v>5.31</v>
      </c>
      <c r="J42" s="35">
        <f t="shared" si="0"/>
        <v>1.3278027777777779</v>
      </c>
      <c r="L42" s="33">
        <v>418.17599999999999</v>
      </c>
      <c r="M42" s="34">
        <v>31.638300000000001</v>
      </c>
      <c r="N42" s="34">
        <v>36.627299999999998</v>
      </c>
      <c r="O42" s="34">
        <v>36.762700000000002</v>
      </c>
      <c r="P42" s="34">
        <v>4767.68</v>
      </c>
      <c r="Q42" s="34">
        <v>5.33</v>
      </c>
      <c r="R42" s="35">
        <f t="shared" si="1"/>
        <v>1.3243555555555557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4198.5047999999997</v>
      </c>
      <c r="E43" s="15">
        <v>40.122500000000002</v>
      </c>
      <c r="F43" s="15">
        <v>43.035800000000002</v>
      </c>
      <c r="G43" s="15">
        <v>44.3994</v>
      </c>
      <c r="H43" s="15">
        <v>8542.2900000000009</v>
      </c>
      <c r="I43" s="15">
        <v>12.08</v>
      </c>
      <c r="J43" s="16">
        <f t="shared" si="0"/>
        <v>2.3728583333333337</v>
      </c>
      <c r="L43" s="14">
        <v>4198.5047999999997</v>
      </c>
      <c r="M43" s="15">
        <v>40.122500000000002</v>
      </c>
      <c r="N43" s="15">
        <v>43.035800000000002</v>
      </c>
      <c r="O43" s="15">
        <v>44.3994</v>
      </c>
      <c r="P43" s="15">
        <v>8565.17</v>
      </c>
      <c r="Q43" s="15">
        <v>12.02</v>
      </c>
      <c r="R43" s="16">
        <f t="shared" si="1"/>
        <v>2.3792138888888887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1870.62</v>
      </c>
      <c r="E44" s="25">
        <v>37.245899999999999</v>
      </c>
      <c r="F44" s="25">
        <v>40.897399999999998</v>
      </c>
      <c r="G44" s="25">
        <v>41.9773</v>
      </c>
      <c r="H44" s="25">
        <v>7085.13</v>
      </c>
      <c r="I44" s="25">
        <v>9.2899999999999991</v>
      </c>
      <c r="J44" s="26">
        <f t="shared" si="0"/>
        <v>1.9680916666666668</v>
      </c>
      <c r="L44" s="24">
        <v>1870.62</v>
      </c>
      <c r="M44" s="25">
        <v>37.245899999999999</v>
      </c>
      <c r="N44" s="25">
        <v>40.897399999999998</v>
      </c>
      <c r="O44" s="25">
        <v>41.9773</v>
      </c>
      <c r="P44" s="25">
        <v>7078.38</v>
      </c>
      <c r="Q44" s="25">
        <v>9.32</v>
      </c>
      <c r="R44" s="26">
        <f t="shared" si="1"/>
        <v>1.9662166666666667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903.06719999999996</v>
      </c>
      <c r="E45" s="25">
        <v>34.284700000000001</v>
      </c>
      <c r="F45" s="25">
        <v>39.129399999999997</v>
      </c>
      <c r="G45" s="25">
        <v>40.008200000000002</v>
      </c>
      <c r="H45" s="25">
        <v>6091.56</v>
      </c>
      <c r="I45" s="25">
        <v>7.4</v>
      </c>
      <c r="J45" s="26">
        <f t="shared" si="0"/>
        <v>1.6921000000000002</v>
      </c>
      <c r="L45" s="24">
        <v>903.06719999999996</v>
      </c>
      <c r="M45" s="25">
        <v>34.284700000000001</v>
      </c>
      <c r="N45" s="25">
        <v>39.129399999999997</v>
      </c>
      <c r="O45" s="25">
        <v>40.008200000000002</v>
      </c>
      <c r="P45" s="25">
        <v>6067.39</v>
      </c>
      <c r="Q45" s="25">
        <v>7.42</v>
      </c>
      <c r="R45" s="26">
        <f t="shared" si="1"/>
        <v>1.6853861111111113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457.20960000000002</v>
      </c>
      <c r="E46" s="34">
        <v>31.378</v>
      </c>
      <c r="F46" s="34">
        <v>37.831299999999999</v>
      </c>
      <c r="G46" s="34">
        <v>38.588299999999997</v>
      </c>
      <c r="H46" s="34">
        <v>5475.51</v>
      </c>
      <c r="I46" s="34">
        <v>6.32</v>
      </c>
      <c r="J46" s="35">
        <f t="shared" si="0"/>
        <v>1.520975</v>
      </c>
      <c r="L46" s="33">
        <v>457.20960000000002</v>
      </c>
      <c r="M46" s="34">
        <v>31.378</v>
      </c>
      <c r="N46" s="34">
        <v>37.831299999999999</v>
      </c>
      <c r="O46" s="34">
        <v>38.588299999999997</v>
      </c>
      <c r="P46" s="34">
        <v>5442.14</v>
      </c>
      <c r="Q46" s="34">
        <v>6.3</v>
      </c>
      <c r="R46" s="35">
        <f t="shared" si="1"/>
        <v>1.5117055555555556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8055.9128000000001</v>
      </c>
      <c r="E47" s="15">
        <v>38.402099999999997</v>
      </c>
      <c r="F47" s="15">
        <v>41.0169</v>
      </c>
      <c r="G47" s="15">
        <v>41.930799999999998</v>
      </c>
      <c r="H47" s="15">
        <v>8713.56</v>
      </c>
      <c r="I47" s="15">
        <v>14.29</v>
      </c>
      <c r="J47" s="16">
        <f t="shared" si="0"/>
        <v>2.420433333333333</v>
      </c>
      <c r="L47" s="14">
        <v>8055.9128000000001</v>
      </c>
      <c r="M47" s="15">
        <v>38.402099999999997</v>
      </c>
      <c r="N47" s="15">
        <v>41.0169</v>
      </c>
      <c r="O47" s="15">
        <v>41.930799999999998</v>
      </c>
      <c r="P47" s="15">
        <v>8709.76</v>
      </c>
      <c r="Q47" s="15">
        <v>14.38</v>
      </c>
      <c r="R47" s="16">
        <f t="shared" si="1"/>
        <v>2.4193777777777776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3447.7296000000001</v>
      </c>
      <c r="E48" s="25">
        <v>34.533000000000001</v>
      </c>
      <c r="F48" s="25">
        <v>38.279499999999999</v>
      </c>
      <c r="G48" s="25">
        <v>39.107700000000001</v>
      </c>
      <c r="H48" s="25">
        <v>6879.27</v>
      </c>
      <c r="I48" s="25">
        <v>10.37</v>
      </c>
      <c r="J48" s="26">
        <f t="shared" si="0"/>
        <v>1.9109083333333334</v>
      </c>
      <c r="L48" s="24">
        <v>3447.7296000000001</v>
      </c>
      <c r="M48" s="25">
        <v>34.533000000000001</v>
      </c>
      <c r="N48" s="25">
        <v>38.279499999999999</v>
      </c>
      <c r="O48" s="25">
        <v>39.107700000000001</v>
      </c>
      <c r="P48" s="25">
        <v>6870.25</v>
      </c>
      <c r="Q48" s="25">
        <v>10.32</v>
      </c>
      <c r="R48" s="26">
        <f t="shared" si="1"/>
        <v>1.9084027777777777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1504.9975999999999</v>
      </c>
      <c r="E49" s="25">
        <v>31.054200000000002</v>
      </c>
      <c r="F49" s="25">
        <v>36.311700000000002</v>
      </c>
      <c r="G49" s="25">
        <v>37.1006</v>
      </c>
      <c r="H49" s="25">
        <v>5630.54</v>
      </c>
      <c r="I49" s="25">
        <v>7.69</v>
      </c>
      <c r="J49" s="26">
        <f t="shared" si="0"/>
        <v>1.564038888888889</v>
      </c>
      <c r="L49" s="24">
        <v>1504.9975999999999</v>
      </c>
      <c r="M49" s="25">
        <v>31.054200000000002</v>
      </c>
      <c r="N49" s="25">
        <v>36.311700000000002</v>
      </c>
      <c r="O49" s="25">
        <v>37.1006</v>
      </c>
      <c r="P49" s="25">
        <v>5624.66</v>
      </c>
      <c r="Q49" s="25">
        <v>7.81</v>
      </c>
      <c r="R49" s="26">
        <f t="shared" si="1"/>
        <v>1.5624055555555556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643.31119999999999</v>
      </c>
      <c r="E50" s="34">
        <v>27.814599999999999</v>
      </c>
      <c r="F50" s="34">
        <v>34.935099999999998</v>
      </c>
      <c r="G50" s="34">
        <v>35.69</v>
      </c>
      <c r="H50" s="34">
        <v>4799.42</v>
      </c>
      <c r="I50" s="34">
        <v>6.12</v>
      </c>
      <c r="J50" s="35">
        <f t="shared" si="0"/>
        <v>1.3331722222222222</v>
      </c>
      <c r="L50" s="33">
        <v>643.31119999999999</v>
      </c>
      <c r="M50" s="34">
        <v>27.814599999999999</v>
      </c>
      <c r="N50" s="34">
        <v>34.935099999999998</v>
      </c>
      <c r="O50" s="34">
        <v>35.69</v>
      </c>
      <c r="P50" s="34">
        <v>4785.09</v>
      </c>
      <c r="Q50" s="34">
        <v>6.13</v>
      </c>
      <c r="R50" s="35">
        <f t="shared" si="1"/>
        <v>1.3291916666666668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5705.2848000000004</v>
      </c>
      <c r="E51" s="15">
        <v>39.892499999999998</v>
      </c>
      <c r="F51" s="15">
        <v>41.384799999999998</v>
      </c>
      <c r="G51" s="15">
        <v>42.758200000000002</v>
      </c>
      <c r="H51" s="15">
        <v>6608.99</v>
      </c>
      <c r="I51" s="15">
        <v>8.9600000000000009</v>
      </c>
      <c r="J51" s="16">
        <f t="shared" si="0"/>
        <v>1.8358305555555554</v>
      </c>
      <c r="L51" s="14">
        <v>5705.2848000000004</v>
      </c>
      <c r="M51" s="15">
        <v>39.892499999999998</v>
      </c>
      <c r="N51" s="15">
        <v>41.384799999999998</v>
      </c>
      <c r="O51" s="15">
        <v>42.758200000000002</v>
      </c>
      <c r="P51" s="15">
        <v>6601.79</v>
      </c>
      <c r="Q51" s="15">
        <v>8.94</v>
      </c>
      <c r="R51" s="16">
        <f t="shared" si="1"/>
        <v>1.8338305555555556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2265.8328000000001</v>
      </c>
      <c r="E52" s="25">
        <v>36.213099999999997</v>
      </c>
      <c r="F52" s="25">
        <v>38.752899999999997</v>
      </c>
      <c r="G52" s="25">
        <v>40.395299999999999</v>
      </c>
      <c r="H52" s="25">
        <v>5452.74</v>
      </c>
      <c r="I52" s="25">
        <v>6.71</v>
      </c>
      <c r="J52" s="26">
        <f t="shared" si="0"/>
        <v>1.5146499999999998</v>
      </c>
      <c r="L52" s="24">
        <v>2265.8328000000001</v>
      </c>
      <c r="M52" s="25">
        <v>36.213099999999997</v>
      </c>
      <c r="N52" s="25">
        <v>38.752899999999997</v>
      </c>
      <c r="O52" s="25">
        <v>40.395299999999999</v>
      </c>
      <c r="P52" s="25">
        <v>5375.71</v>
      </c>
      <c r="Q52" s="25">
        <v>6.65</v>
      </c>
      <c r="R52" s="26">
        <f t="shared" si="1"/>
        <v>1.4932527777777778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997.88</v>
      </c>
      <c r="E53" s="25">
        <v>33.0364</v>
      </c>
      <c r="F53" s="25">
        <v>36.816899999999997</v>
      </c>
      <c r="G53" s="25">
        <v>38.564399999999999</v>
      </c>
      <c r="H53" s="25">
        <v>4503.2</v>
      </c>
      <c r="I53" s="25">
        <v>5.16</v>
      </c>
      <c r="J53" s="26">
        <f t="shared" si="0"/>
        <v>1.2508888888888889</v>
      </c>
      <c r="L53" s="24">
        <v>997.88</v>
      </c>
      <c r="M53" s="25">
        <v>33.0364</v>
      </c>
      <c r="N53" s="25">
        <v>36.816899999999997</v>
      </c>
      <c r="O53" s="25">
        <v>38.564399999999999</v>
      </c>
      <c r="P53" s="25">
        <v>4472.53</v>
      </c>
      <c r="Q53" s="25">
        <v>5.17</v>
      </c>
      <c r="R53" s="26">
        <f t="shared" si="1"/>
        <v>1.2423694444444444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456.55840000000001</v>
      </c>
      <c r="E54" s="34">
        <v>30.1632</v>
      </c>
      <c r="F54" s="34">
        <v>35.543999999999997</v>
      </c>
      <c r="G54" s="34">
        <v>37.249699999999997</v>
      </c>
      <c r="H54" s="34">
        <v>3816.82</v>
      </c>
      <c r="I54" s="34">
        <v>4.03</v>
      </c>
      <c r="J54" s="35">
        <f t="shared" si="0"/>
        <v>1.0602277777777778</v>
      </c>
      <c r="L54" s="33">
        <v>456.55840000000001</v>
      </c>
      <c r="M54" s="34">
        <v>30.1632</v>
      </c>
      <c r="N54" s="34">
        <v>35.543999999999997</v>
      </c>
      <c r="O54" s="34">
        <v>37.249699999999997</v>
      </c>
      <c r="P54" s="34">
        <v>3801.51</v>
      </c>
      <c r="Q54" s="34">
        <v>3.97</v>
      </c>
      <c r="R54" s="35">
        <f t="shared" si="1"/>
        <v>1.0559750000000001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1723.8904</v>
      </c>
      <c r="E55" s="15">
        <v>40.895200000000003</v>
      </c>
      <c r="F55" s="15">
        <v>43.496200000000002</v>
      </c>
      <c r="G55" s="15">
        <v>42.932200000000002</v>
      </c>
      <c r="H55" s="15">
        <v>2101.62</v>
      </c>
      <c r="I55" s="15">
        <v>3.26</v>
      </c>
      <c r="J55" s="16">
        <f t="shared" si="0"/>
        <v>0.58378333333333332</v>
      </c>
      <c r="L55" s="14">
        <v>1723.8904</v>
      </c>
      <c r="M55" s="15">
        <v>40.895200000000003</v>
      </c>
      <c r="N55" s="15">
        <v>43.496200000000002</v>
      </c>
      <c r="O55" s="15">
        <v>42.932200000000002</v>
      </c>
      <c r="P55" s="15">
        <v>2100.7600000000002</v>
      </c>
      <c r="Q55" s="15">
        <v>3.3</v>
      </c>
      <c r="R55" s="16">
        <f t="shared" si="1"/>
        <v>0.58354444444444453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855.85760000000005</v>
      </c>
      <c r="E56" s="25">
        <v>36.9968</v>
      </c>
      <c r="F56" s="25">
        <v>40.682000000000002</v>
      </c>
      <c r="G56" s="25">
        <v>39.702399999999997</v>
      </c>
      <c r="H56" s="25">
        <v>1811.94</v>
      </c>
      <c r="I56" s="25">
        <v>2.64</v>
      </c>
      <c r="J56" s="26">
        <f t="shared" si="0"/>
        <v>0.50331666666666663</v>
      </c>
      <c r="L56" s="24">
        <v>855.85760000000005</v>
      </c>
      <c r="M56" s="25">
        <v>36.9968</v>
      </c>
      <c r="N56" s="25">
        <v>40.682000000000002</v>
      </c>
      <c r="O56" s="25">
        <v>39.702399999999997</v>
      </c>
      <c r="P56" s="25">
        <v>1809.77</v>
      </c>
      <c r="Q56" s="25">
        <v>2.59</v>
      </c>
      <c r="R56" s="26">
        <f t="shared" si="1"/>
        <v>0.5027138888888889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416.22</v>
      </c>
      <c r="E57" s="25">
        <v>33.497999999999998</v>
      </c>
      <c r="F57" s="25">
        <v>38.551499999999997</v>
      </c>
      <c r="G57" s="25">
        <v>37.271099999999997</v>
      </c>
      <c r="H57" s="25">
        <v>1552.48</v>
      </c>
      <c r="I57" s="25">
        <v>2.14</v>
      </c>
      <c r="J57" s="26">
        <f t="shared" si="0"/>
        <v>0.43124444444444443</v>
      </c>
      <c r="L57" s="24">
        <v>416.22</v>
      </c>
      <c r="M57" s="25">
        <v>33.497999999999998</v>
      </c>
      <c r="N57" s="25">
        <v>38.551499999999997</v>
      </c>
      <c r="O57" s="25">
        <v>37.271099999999997</v>
      </c>
      <c r="P57" s="25">
        <v>1549.73</v>
      </c>
      <c r="Q57" s="25">
        <v>2.15</v>
      </c>
      <c r="R57" s="26">
        <f t="shared" si="1"/>
        <v>0.43048055555555553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209.45840000000001</v>
      </c>
      <c r="E58" s="34">
        <v>30.548400000000001</v>
      </c>
      <c r="F58" s="34">
        <v>37.203699999999998</v>
      </c>
      <c r="G58" s="34">
        <v>35.653399999999998</v>
      </c>
      <c r="H58" s="34">
        <v>1348.95</v>
      </c>
      <c r="I58" s="34">
        <v>1.78</v>
      </c>
      <c r="J58" s="35">
        <f t="shared" si="0"/>
        <v>0.37470833333333337</v>
      </c>
      <c r="L58" s="33">
        <v>209.45840000000001</v>
      </c>
      <c r="M58" s="34">
        <v>30.548400000000001</v>
      </c>
      <c r="N58" s="34">
        <v>37.203699999999998</v>
      </c>
      <c r="O58" s="34">
        <v>35.653399999999998</v>
      </c>
      <c r="P58" s="34">
        <v>1344.92</v>
      </c>
      <c r="Q58" s="34">
        <v>1.78</v>
      </c>
      <c r="R58" s="35">
        <f t="shared" si="1"/>
        <v>0.37358888888888891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2223.7736</v>
      </c>
      <c r="E59" s="15">
        <v>38.411900000000003</v>
      </c>
      <c r="F59" s="15">
        <v>42.573099999999997</v>
      </c>
      <c r="G59" s="15">
        <v>43.525799999999997</v>
      </c>
      <c r="H59" s="15">
        <v>2306.91</v>
      </c>
      <c r="I59" s="15">
        <v>4.37</v>
      </c>
      <c r="J59" s="16">
        <f t="shared" si="0"/>
        <v>0.64080833333333331</v>
      </c>
      <c r="L59" s="14">
        <v>2223.7736</v>
      </c>
      <c r="M59" s="15">
        <v>38.411900000000003</v>
      </c>
      <c r="N59" s="15">
        <v>42.573099999999997</v>
      </c>
      <c r="O59" s="15">
        <v>43.525799999999997</v>
      </c>
      <c r="P59" s="15">
        <v>2304.92</v>
      </c>
      <c r="Q59" s="15">
        <v>4.41</v>
      </c>
      <c r="R59" s="16">
        <f t="shared" si="1"/>
        <v>0.64025555555555558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772</v>
      </c>
      <c r="E60" s="25">
        <v>34.5306</v>
      </c>
      <c r="F60" s="25">
        <v>40.572099999999999</v>
      </c>
      <c r="G60" s="25">
        <v>41.451500000000003</v>
      </c>
      <c r="H60" s="25">
        <v>1748.66</v>
      </c>
      <c r="I60" s="25">
        <v>3.07</v>
      </c>
      <c r="J60" s="26">
        <f t="shared" si="0"/>
        <v>0.48573888888888889</v>
      </c>
      <c r="L60" s="24">
        <v>772</v>
      </c>
      <c r="M60" s="25">
        <v>34.5306</v>
      </c>
      <c r="N60" s="25">
        <v>40.572099999999999</v>
      </c>
      <c r="O60" s="25">
        <v>41.451500000000003</v>
      </c>
      <c r="P60" s="25">
        <v>1749.22</v>
      </c>
      <c r="Q60" s="25">
        <v>3.08</v>
      </c>
      <c r="R60" s="26">
        <f t="shared" si="1"/>
        <v>0.48589444444444446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308.69439999999997</v>
      </c>
      <c r="E61" s="25">
        <v>31.353300000000001</v>
      </c>
      <c r="F61" s="25">
        <v>39.2742</v>
      </c>
      <c r="G61" s="25">
        <v>40.034500000000001</v>
      </c>
      <c r="H61" s="25">
        <v>1415.05</v>
      </c>
      <c r="I61" s="25">
        <v>2.1800000000000002</v>
      </c>
      <c r="J61" s="26">
        <f t="shared" si="0"/>
        <v>0.39306944444444442</v>
      </c>
      <c r="L61" s="24">
        <v>308.69439999999997</v>
      </c>
      <c r="M61" s="25">
        <v>31.353300000000001</v>
      </c>
      <c r="N61" s="25">
        <v>39.2742</v>
      </c>
      <c r="O61" s="25">
        <v>40.034500000000001</v>
      </c>
      <c r="P61" s="25">
        <v>1411.91</v>
      </c>
      <c r="Q61" s="25">
        <v>2.2799999999999998</v>
      </c>
      <c r="R61" s="26">
        <f t="shared" si="1"/>
        <v>0.39219722222222225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126.6272</v>
      </c>
      <c r="E62" s="34">
        <v>28.2698</v>
      </c>
      <c r="F62" s="34">
        <v>38.268700000000003</v>
      </c>
      <c r="G62" s="34">
        <v>38.9739</v>
      </c>
      <c r="H62" s="34">
        <v>1206.8</v>
      </c>
      <c r="I62" s="34">
        <v>1.83</v>
      </c>
      <c r="J62" s="35">
        <f t="shared" si="0"/>
        <v>0.3352222222222222</v>
      </c>
      <c r="L62" s="33">
        <v>126.6272</v>
      </c>
      <c r="M62" s="34">
        <v>28.2698</v>
      </c>
      <c r="N62" s="34">
        <v>38.268700000000003</v>
      </c>
      <c r="O62" s="34">
        <v>38.9739</v>
      </c>
      <c r="P62" s="34">
        <v>1209.8900000000001</v>
      </c>
      <c r="Q62" s="34">
        <v>1.83</v>
      </c>
      <c r="R62" s="35">
        <f t="shared" si="1"/>
        <v>0.3360805555555556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1940.5648000000001</v>
      </c>
      <c r="E63" s="15">
        <v>38.134599999999999</v>
      </c>
      <c r="F63" s="15">
        <v>40.727899999999998</v>
      </c>
      <c r="G63" s="15">
        <v>41.432600000000001</v>
      </c>
      <c r="H63" s="15">
        <v>1990.11</v>
      </c>
      <c r="I63" s="15">
        <v>3.56</v>
      </c>
      <c r="J63" s="16">
        <f t="shared" si="0"/>
        <v>0.55280833333333335</v>
      </c>
      <c r="L63" s="14">
        <v>1940.5648000000001</v>
      </c>
      <c r="M63" s="15">
        <v>38.134599999999999</v>
      </c>
      <c r="N63" s="15">
        <v>40.727899999999998</v>
      </c>
      <c r="O63" s="15">
        <v>41.432600000000001</v>
      </c>
      <c r="P63" s="15">
        <v>1975.8</v>
      </c>
      <c r="Q63" s="15">
        <v>3.54</v>
      </c>
      <c r="R63" s="16">
        <f t="shared" si="1"/>
        <v>0.54883333333333328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825.49760000000003</v>
      </c>
      <c r="E64" s="25">
        <v>34.3504</v>
      </c>
      <c r="F64" s="25">
        <v>37.987699999999997</v>
      </c>
      <c r="G64" s="25">
        <v>38.549599999999998</v>
      </c>
      <c r="H64" s="25">
        <v>1545.51</v>
      </c>
      <c r="I64" s="25">
        <v>2.6</v>
      </c>
      <c r="J64" s="26">
        <f t="shared" si="0"/>
        <v>0.42930833333333335</v>
      </c>
      <c r="L64" s="24">
        <v>825.49760000000003</v>
      </c>
      <c r="M64" s="25">
        <v>34.3504</v>
      </c>
      <c r="N64" s="25">
        <v>37.987699999999997</v>
      </c>
      <c r="O64" s="25">
        <v>38.549599999999998</v>
      </c>
      <c r="P64" s="25">
        <v>1541.38</v>
      </c>
      <c r="Q64" s="25">
        <v>2.6</v>
      </c>
      <c r="R64" s="26">
        <f t="shared" si="1"/>
        <v>0.42816111111111116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353.42720000000003</v>
      </c>
      <c r="E65" s="25">
        <v>30.851900000000001</v>
      </c>
      <c r="F65" s="25">
        <v>35.959200000000003</v>
      </c>
      <c r="G65" s="25">
        <v>36.508699999999997</v>
      </c>
      <c r="H65" s="25">
        <v>1248.79</v>
      </c>
      <c r="I65" s="25">
        <v>1.94</v>
      </c>
      <c r="J65" s="26">
        <f t="shared" si="0"/>
        <v>0.34688611111111112</v>
      </c>
      <c r="L65" s="24">
        <v>353.42720000000003</v>
      </c>
      <c r="M65" s="25">
        <v>30.851900000000001</v>
      </c>
      <c r="N65" s="25">
        <v>35.959200000000003</v>
      </c>
      <c r="O65" s="25">
        <v>36.508699999999997</v>
      </c>
      <c r="P65" s="25">
        <v>1257.92</v>
      </c>
      <c r="Q65" s="25">
        <v>1.97</v>
      </c>
      <c r="R65" s="26">
        <f t="shared" si="1"/>
        <v>0.34942222222222225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149.11279999999999</v>
      </c>
      <c r="E66" s="34">
        <v>27.767099999999999</v>
      </c>
      <c r="F66" s="34">
        <v>34.477400000000003</v>
      </c>
      <c r="G66" s="34">
        <v>35.020200000000003</v>
      </c>
      <c r="H66" s="34">
        <v>1071.73</v>
      </c>
      <c r="I66" s="34">
        <v>1.56</v>
      </c>
      <c r="J66" s="35">
        <f t="shared" si="0"/>
        <v>0.29770277777777776</v>
      </c>
      <c r="L66" s="33">
        <v>149.11279999999999</v>
      </c>
      <c r="M66" s="34">
        <v>27.767099999999999</v>
      </c>
      <c r="N66" s="34">
        <v>34.477400000000003</v>
      </c>
      <c r="O66" s="34">
        <v>35.020200000000003</v>
      </c>
      <c r="P66" s="34">
        <v>1059.8599999999999</v>
      </c>
      <c r="Q66" s="34">
        <v>1.54</v>
      </c>
      <c r="R66" s="35">
        <f t="shared" si="1"/>
        <v>0.29440555555555553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1338.8112000000001</v>
      </c>
      <c r="E67" s="15">
        <v>39.895299999999999</v>
      </c>
      <c r="F67" s="15">
        <v>41.191299999999998</v>
      </c>
      <c r="G67" s="15">
        <v>42.279200000000003</v>
      </c>
      <c r="H67" s="15">
        <v>1536.96</v>
      </c>
      <c r="I67" s="15">
        <v>2.42</v>
      </c>
      <c r="J67" s="16">
        <f t="shared" si="0"/>
        <v>0.42693333333333333</v>
      </c>
      <c r="L67" s="14">
        <v>1338.8112000000001</v>
      </c>
      <c r="M67" s="15">
        <v>39.895299999999999</v>
      </c>
      <c r="N67" s="15">
        <v>41.191299999999998</v>
      </c>
      <c r="O67" s="15">
        <v>42.279200000000003</v>
      </c>
      <c r="P67" s="15">
        <v>1536.31</v>
      </c>
      <c r="Q67" s="15">
        <v>2.42</v>
      </c>
      <c r="R67" s="16">
        <f t="shared" si="1"/>
        <v>0.42675277777777776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635.1848</v>
      </c>
      <c r="E68" s="25">
        <v>35.825000000000003</v>
      </c>
      <c r="F68" s="25">
        <v>38.302900000000001</v>
      </c>
      <c r="G68" s="25">
        <v>39.538499999999999</v>
      </c>
      <c r="H68" s="25">
        <v>1301.6600000000001</v>
      </c>
      <c r="I68" s="25">
        <v>1.89</v>
      </c>
      <c r="J68" s="26">
        <f t="shared" ref="J68:J98" si="2">secToHours(H68)</f>
        <v>0.36157222222222224</v>
      </c>
      <c r="L68" s="24">
        <v>635.1848</v>
      </c>
      <c r="M68" s="25">
        <v>35.825000000000003</v>
      </c>
      <c r="N68" s="25">
        <v>38.302900000000001</v>
      </c>
      <c r="O68" s="25">
        <v>39.538499999999999</v>
      </c>
      <c r="P68" s="25">
        <v>1298.8599999999999</v>
      </c>
      <c r="Q68" s="25">
        <v>1.89</v>
      </c>
      <c r="R68" s="26">
        <f t="shared" ref="R68:R98" si="3">secToHours(P68)</f>
        <v>0.36079444444444442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298.85759999999999</v>
      </c>
      <c r="E69" s="25">
        <v>32.213999999999999</v>
      </c>
      <c r="F69" s="25">
        <v>36.286099999999998</v>
      </c>
      <c r="G69" s="25">
        <v>37.435699999999997</v>
      </c>
      <c r="H69" s="25">
        <v>1079.81</v>
      </c>
      <c r="I69" s="25">
        <v>1.42</v>
      </c>
      <c r="J69" s="26">
        <f t="shared" si="2"/>
        <v>0.2999472222222222</v>
      </c>
      <c r="L69" s="24">
        <v>298.85759999999999</v>
      </c>
      <c r="M69" s="25">
        <v>32.213999999999999</v>
      </c>
      <c r="N69" s="25">
        <v>36.286099999999998</v>
      </c>
      <c r="O69" s="25">
        <v>37.435699999999997</v>
      </c>
      <c r="P69" s="25">
        <v>1081.32</v>
      </c>
      <c r="Q69" s="25">
        <v>1.47</v>
      </c>
      <c r="R69" s="26">
        <f t="shared" si="3"/>
        <v>0.30036666666666667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143.16159999999999</v>
      </c>
      <c r="E70" s="34">
        <v>29.325900000000001</v>
      </c>
      <c r="F70" s="34">
        <v>34.8307</v>
      </c>
      <c r="G70" s="34">
        <v>35.934699999999999</v>
      </c>
      <c r="H70" s="34">
        <v>913.77</v>
      </c>
      <c r="I70" s="34">
        <v>1.1499999999999999</v>
      </c>
      <c r="J70" s="35">
        <f t="shared" si="2"/>
        <v>0.25382499999999997</v>
      </c>
      <c r="L70" s="33">
        <v>143.16159999999999</v>
      </c>
      <c r="M70" s="34">
        <v>29.325900000000001</v>
      </c>
      <c r="N70" s="34">
        <v>34.8307</v>
      </c>
      <c r="O70" s="34">
        <v>35.934699999999999</v>
      </c>
      <c r="P70" s="34">
        <v>913.86</v>
      </c>
      <c r="Q70" s="34">
        <v>1.18</v>
      </c>
      <c r="R70" s="35">
        <f t="shared" si="3"/>
        <v>0.25385000000000002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2227.4591999999998</v>
      </c>
      <c r="E71" s="15">
        <v>42.524799999999999</v>
      </c>
      <c r="F71" s="15">
        <v>46.305799999999998</v>
      </c>
      <c r="G71" s="15">
        <v>47.5486</v>
      </c>
      <c r="H71" s="15">
        <v>12046.73</v>
      </c>
      <c r="I71" s="15">
        <v>14.88</v>
      </c>
      <c r="J71" s="16">
        <f t="shared" si="2"/>
        <v>3.3463138888888886</v>
      </c>
      <c r="L71" s="14">
        <v>2227.4591999999998</v>
      </c>
      <c r="M71" s="15">
        <v>42.524799999999999</v>
      </c>
      <c r="N71" s="15">
        <v>46.305799999999998</v>
      </c>
      <c r="O71" s="15">
        <v>47.5486</v>
      </c>
      <c r="P71" s="15">
        <v>12007.68</v>
      </c>
      <c r="Q71" s="15">
        <v>14.63</v>
      </c>
      <c r="R71" s="16">
        <f t="shared" si="3"/>
        <v>3.3354666666666666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865.89679999999998</v>
      </c>
      <c r="E72" s="25">
        <v>40.229799999999997</v>
      </c>
      <c r="F72" s="25">
        <v>44.216500000000003</v>
      </c>
      <c r="G72" s="25">
        <v>45.495899999999999</v>
      </c>
      <c r="H72" s="25">
        <v>10543.8</v>
      </c>
      <c r="I72" s="25">
        <v>11.65</v>
      </c>
      <c r="J72" s="26">
        <f t="shared" si="2"/>
        <v>2.928833333333333</v>
      </c>
      <c r="L72" s="24">
        <v>865.89679999999998</v>
      </c>
      <c r="M72" s="25">
        <v>40.229799999999997</v>
      </c>
      <c r="N72" s="25">
        <v>44.216500000000003</v>
      </c>
      <c r="O72" s="25">
        <v>45.495899999999999</v>
      </c>
      <c r="P72" s="25">
        <v>10546.68</v>
      </c>
      <c r="Q72" s="25">
        <v>11.6</v>
      </c>
      <c r="R72" s="26">
        <f t="shared" si="3"/>
        <v>2.9296333333333333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423.66</v>
      </c>
      <c r="E73" s="25">
        <v>37.572899999999997</v>
      </c>
      <c r="F73" s="25">
        <v>42.437199999999997</v>
      </c>
      <c r="G73" s="25">
        <v>43.607100000000003</v>
      </c>
      <c r="H73" s="25">
        <v>9845.7000000000007</v>
      </c>
      <c r="I73" s="25">
        <v>10.3</v>
      </c>
      <c r="J73" s="26">
        <f t="shared" si="2"/>
        <v>2.7349166666666669</v>
      </c>
      <c r="L73" s="24">
        <v>423.66</v>
      </c>
      <c r="M73" s="25">
        <v>37.572899999999997</v>
      </c>
      <c r="N73" s="25">
        <v>42.437199999999997</v>
      </c>
      <c r="O73" s="25">
        <v>43.607100000000003</v>
      </c>
      <c r="P73" s="25">
        <v>9794.84</v>
      </c>
      <c r="Q73" s="25">
        <v>10.41</v>
      </c>
      <c r="R73" s="26">
        <f t="shared" si="3"/>
        <v>2.7207888888888889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220.10239999999999</v>
      </c>
      <c r="E74" s="34">
        <v>34.6267</v>
      </c>
      <c r="F74" s="34">
        <v>41.129600000000003</v>
      </c>
      <c r="G74" s="34">
        <v>42.278399999999998</v>
      </c>
      <c r="H74" s="34">
        <v>9366.77</v>
      </c>
      <c r="I74" s="34">
        <v>9.58</v>
      </c>
      <c r="J74" s="35">
        <f t="shared" si="2"/>
        <v>2.6018805555555558</v>
      </c>
      <c r="L74" s="33">
        <v>220.10239999999999</v>
      </c>
      <c r="M74" s="34">
        <v>34.6267</v>
      </c>
      <c r="N74" s="34">
        <v>41.129600000000003</v>
      </c>
      <c r="O74" s="34">
        <v>42.278399999999998</v>
      </c>
      <c r="P74" s="34">
        <v>9292.1299999999992</v>
      </c>
      <c r="Q74" s="34">
        <v>9.39</v>
      </c>
      <c r="R74" s="35">
        <f t="shared" si="3"/>
        <v>2.581147222222222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1505.6952000000001</v>
      </c>
      <c r="E75" s="15">
        <v>42.956600000000002</v>
      </c>
      <c r="F75" s="15">
        <v>47.850200000000001</v>
      </c>
      <c r="G75" s="15">
        <v>48.445</v>
      </c>
      <c r="H75" s="15">
        <v>11462.1</v>
      </c>
      <c r="I75" s="15">
        <v>14.12</v>
      </c>
      <c r="J75" s="16">
        <f t="shared" si="2"/>
        <v>3.1839166666666667</v>
      </c>
      <c r="L75" s="14">
        <v>1505.6952000000001</v>
      </c>
      <c r="M75" s="15">
        <v>42.956600000000002</v>
      </c>
      <c r="N75" s="15">
        <v>47.850200000000001</v>
      </c>
      <c r="O75" s="15">
        <v>48.445</v>
      </c>
      <c r="P75" s="15">
        <v>11451.1</v>
      </c>
      <c r="Q75" s="15">
        <v>14.06</v>
      </c>
      <c r="R75" s="16">
        <f t="shared" si="3"/>
        <v>3.1808611111111111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416.65519999999998</v>
      </c>
      <c r="E76" s="25">
        <v>41.141100000000002</v>
      </c>
      <c r="F76" s="25">
        <v>46.162199999999999</v>
      </c>
      <c r="G76" s="25">
        <v>46.8157</v>
      </c>
      <c r="H76" s="25">
        <v>9968.68</v>
      </c>
      <c r="I76" s="25">
        <v>11.01</v>
      </c>
      <c r="J76" s="26">
        <f t="shared" si="2"/>
        <v>2.769077777777778</v>
      </c>
      <c r="L76" s="24">
        <v>416.65519999999998</v>
      </c>
      <c r="M76" s="25">
        <v>41.141100000000002</v>
      </c>
      <c r="N76" s="25">
        <v>46.162199999999999</v>
      </c>
      <c r="O76" s="25">
        <v>46.8157</v>
      </c>
      <c r="P76" s="25">
        <v>9992.2000000000007</v>
      </c>
      <c r="Q76" s="25">
        <v>10.99</v>
      </c>
      <c r="R76" s="26">
        <f t="shared" si="3"/>
        <v>2.7756111111111115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185.01920000000001</v>
      </c>
      <c r="E77" s="25">
        <v>39.001899999999999</v>
      </c>
      <c r="F77" s="25">
        <v>44.5107</v>
      </c>
      <c r="G77" s="25">
        <v>44.971299999999999</v>
      </c>
      <c r="H77" s="25">
        <v>9348.89</v>
      </c>
      <c r="I77" s="25">
        <v>9.9</v>
      </c>
      <c r="J77" s="26">
        <f t="shared" si="2"/>
        <v>2.5969138888888885</v>
      </c>
      <c r="L77" s="24">
        <v>185.01920000000001</v>
      </c>
      <c r="M77" s="25">
        <v>39.001899999999999</v>
      </c>
      <c r="N77" s="25">
        <v>44.5107</v>
      </c>
      <c r="O77" s="25">
        <v>44.971299999999999</v>
      </c>
      <c r="P77" s="25">
        <v>9348.24</v>
      </c>
      <c r="Q77" s="25">
        <v>9.89</v>
      </c>
      <c r="R77" s="26">
        <f t="shared" si="3"/>
        <v>2.5967333333333333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96.137600000000006</v>
      </c>
      <c r="E78" s="34">
        <v>36.485300000000002</v>
      </c>
      <c r="F78" s="34">
        <v>43.253300000000003</v>
      </c>
      <c r="G78" s="34">
        <v>43.593499999999999</v>
      </c>
      <c r="H78" s="34">
        <v>8994.69</v>
      </c>
      <c r="I78" s="34">
        <v>9.09</v>
      </c>
      <c r="J78" s="35">
        <f t="shared" si="2"/>
        <v>2.4985250000000003</v>
      </c>
      <c r="L78" s="33">
        <v>96.137600000000006</v>
      </c>
      <c r="M78" s="34">
        <v>36.485300000000002</v>
      </c>
      <c r="N78" s="34">
        <v>43.253300000000003</v>
      </c>
      <c r="O78" s="34">
        <v>43.593499999999999</v>
      </c>
      <c r="P78" s="34">
        <v>8969.09</v>
      </c>
      <c r="Q78" s="34">
        <v>9.07</v>
      </c>
      <c r="R78" s="35">
        <f t="shared" si="3"/>
        <v>2.4914138888888888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1968.5463999999999</v>
      </c>
      <c r="E79" s="15">
        <v>43.222299999999997</v>
      </c>
      <c r="F79" s="15">
        <v>47.0593</v>
      </c>
      <c r="G79" s="15">
        <v>47.989600000000003</v>
      </c>
      <c r="H79" s="15">
        <v>12753.08</v>
      </c>
      <c r="I79" s="15">
        <v>15.64</v>
      </c>
      <c r="J79" s="16">
        <f t="shared" si="2"/>
        <v>3.5425222222222224</v>
      </c>
      <c r="L79" s="14">
        <v>1968.5463999999999</v>
      </c>
      <c r="M79" s="15">
        <v>43.222299999999997</v>
      </c>
      <c r="N79" s="15">
        <v>47.0593</v>
      </c>
      <c r="O79" s="15">
        <v>47.989600000000003</v>
      </c>
      <c r="P79" s="15">
        <v>12716.86</v>
      </c>
      <c r="Q79" s="15">
        <v>15.44</v>
      </c>
      <c r="R79" s="16">
        <f t="shared" si="3"/>
        <v>3.5324611111111111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698.7912</v>
      </c>
      <c r="E80" s="25">
        <v>41.083500000000001</v>
      </c>
      <c r="F80" s="25">
        <v>45.215299999999999</v>
      </c>
      <c r="G80" s="25">
        <v>46.0702</v>
      </c>
      <c r="H80" s="25">
        <v>11090.99</v>
      </c>
      <c r="I80" s="25">
        <v>12.84</v>
      </c>
      <c r="J80" s="26">
        <f t="shared" si="2"/>
        <v>3.0808305555555555</v>
      </c>
      <c r="L80" s="24">
        <v>698.7912</v>
      </c>
      <c r="M80" s="25">
        <v>41.083500000000001</v>
      </c>
      <c r="N80" s="25">
        <v>45.215299999999999</v>
      </c>
      <c r="O80" s="25">
        <v>46.0702</v>
      </c>
      <c r="P80" s="25">
        <v>11031.85</v>
      </c>
      <c r="Q80" s="25">
        <v>12.53</v>
      </c>
      <c r="R80" s="26">
        <f t="shared" si="3"/>
        <v>3.064402777777778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315.68639999999999</v>
      </c>
      <c r="E81" s="25">
        <v>38.648099999999999</v>
      </c>
      <c r="F81" s="25">
        <v>43.361899999999999</v>
      </c>
      <c r="G81" s="25">
        <v>44.358899999999998</v>
      </c>
      <c r="H81" s="25">
        <v>10158.07</v>
      </c>
      <c r="I81" s="25">
        <v>10.99</v>
      </c>
      <c r="J81" s="26">
        <f t="shared" si="2"/>
        <v>2.8216861111111111</v>
      </c>
      <c r="L81" s="24">
        <v>315.68639999999999</v>
      </c>
      <c r="M81" s="25">
        <v>38.648099999999999</v>
      </c>
      <c r="N81" s="25">
        <v>43.361899999999999</v>
      </c>
      <c r="O81" s="25">
        <v>44.358899999999998</v>
      </c>
      <c r="P81" s="25">
        <v>10177.040000000001</v>
      </c>
      <c r="Q81" s="25">
        <v>11.09</v>
      </c>
      <c r="R81" s="26">
        <f t="shared" si="3"/>
        <v>2.8269555555555557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161.2072</v>
      </c>
      <c r="E82" s="34">
        <v>35.938400000000001</v>
      </c>
      <c r="F82" s="34">
        <v>42.111600000000003</v>
      </c>
      <c r="G82" s="34">
        <v>42.942300000000003</v>
      </c>
      <c r="H82" s="34">
        <v>9659.4599999999991</v>
      </c>
      <c r="I82" s="34">
        <v>9.9600000000000009</v>
      </c>
      <c r="J82" s="35">
        <f t="shared" si="2"/>
        <v>2.683183333333333</v>
      </c>
      <c r="L82" s="33">
        <v>161.2072</v>
      </c>
      <c r="M82" s="34">
        <v>35.938400000000001</v>
      </c>
      <c r="N82" s="34">
        <v>42.111600000000003</v>
      </c>
      <c r="O82" s="34">
        <v>42.942300000000003</v>
      </c>
      <c r="P82" s="34">
        <v>9641.9599999999991</v>
      </c>
      <c r="Q82" s="34">
        <v>9.9600000000000009</v>
      </c>
      <c r="R82" s="35">
        <f t="shared" si="3"/>
        <v>2.678322222222222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3881.1248000000001</v>
      </c>
      <c r="E83" s="15">
        <v>40.387500000000003</v>
      </c>
      <c r="F83" s="15">
        <v>42.535299999999999</v>
      </c>
      <c r="G83" s="15">
        <v>43.072600000000001</v>
      </c>
      <c r="H83" s="15">
        <v>7674.75</v>
      </c>
      <c r="I83" s="15">
        <v>10.23</v>
      </c>
      <c r="J83" s="16">
        <f t="shared" si="2"/>
        <v>2.131875</v>
      </c>
      <c r="L83" s="14">
        <v>3881.1248000000001</v>
      </c>
      <c r="M83" s="15">
        <v>40.387500000000003</v>
      </c>
      <c r="N83" s="15">
        <v>42.535299999999999</v>
      </c>
      <c r="O83" s="15">
        <v>43.072600000000001</v>
      </c>
      <c r="P83" s="15">
        <v>7609.9</v>
      </c>
      <c r="Q83" s="15">
        <v>10.210000000000001</v>
      </c>
      <c r="R83" s="16">
        <f t="shared" si="3"/>
        <v>2.113861111111111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1826.3864000000001</v>
      </c>
      <c r="E84" s="25">
        <v>37.054099999999998</v>
      </c>
      <c r="F84" s="25">
        <v>39.679900000000004</v>
      </c>
      <c r="G84" s="25">
        <v>40.040999999999997</v>
      </c>
      <c r="H84" s="25">
        <v>6376.37</v>
      </c>
      <c r="I84" s="25">
        <v>8.18</v>
      </c>
      <c r="J84" s="26">
        <f t="shared" si="2"/>
        <v>1.7712138888888889</v>
      </c>
      <c r="L84" s="24">
        <v>1826.3864000000001</v>
      </c>
      <c r="M84" s="25">
        <v>37.054099999999998</v>
      </c>
      <c r="N84" s="25">
        <v>39.679900000000004</v>
      </c>
      <c r="O84" s="25">
        <v>40.040999999999997</v>
      </c>
      <c r="P84" s="25">
        <v>6362.06</v>
      </c>
      <c r="Q84" s="25">
        <v>8.27</v>
      </c>
      <c r="R84" s="26">
        <f t="shared" si="3"/>
        <v>1.767238888888889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881.17200000000003</v>
      </c>
      <c r="E85" s="25">
        <v>34.008400000000002</v>
      </c>
      <c r="F85" s="25">
        <v>37.387500000000003</v>
      </c>
      <c r="G85" s="25">
        <v>37.686500000000002</v>
      </c>
      <c r="H85" s="25">
        <v>5462.66</v>
      </c>
      <c r="I85" s="25">
        <v>6.49</v>
      </c>
      <c r="J85" s="26">
        <f t="shared" si="2"/>
        <v>1.5174055555555555</v>
      </c>
      <c r="L85" s="24">
        <v>881.17200000000003</v>
      </c>
      <c r="M85" s="25">
        <v>34.008400000000002</v>
      </c>
      <c r="N85" s="25">
        <v>37.387500000000003</v>
      </c>
      <c r="O85" s="25">
        <v>37.686500000000002</v>
      </c>
      <c r="P85" s="25">
        <v>5390.02</v>
      </c>
      <c r="Q85" s="25">
        <v>6.45</v>
      </c>
      <c r="R85" s="26">
        <f t="shared" si="3"/>
        <v>1.4972277777777778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457.60480000000001</v>
      </c>
      <c r="E86" s="34">
        <v>31.318000000000001</v>
      </c>
      <c r="F86" s="34">
        <v>35.7547</v>
      </c>
      <c r="G86" s="34">
        <v>35.9467</v>
      </c>
      <c r="H86" s="34">
        <v>4748.76</v>
      </c>
      <c r="I86" s="34">
        <v>5.42</v>
      </c>
      <c r="J86" s="35">
        <f t="shared" si="2"/>
        <v>1.3191000000000002</v>
      </c>
      <c r="L86" s="33">
        <v>457.60480000000001</v>
      </c>
      <c r="M86" s="34">
        <v>31.318000000000001</v>
      </c>
      <c r="N86" s="34">
        <v>35.7547</v>
      </c>
      <c r="O86" s="34">
        <v>35.9467</v>
      </c>
      <c r="P86" s="34">
        <v>4739.78</v>
      </c>
      <c r="Q86" s="34">
        <v>5.37</v>
      </c>
      <c r="R86" s="35">
        <f t="shared" si="3"/>
        <v>1.3166055555555556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5358.9234999999999</v>
      </c>
      <c r="E87" s="15">
        <v>42.958100000000002</v>
      </c>
      <c r="F87" s="15">
        <v>45.529200000000003</v>
      </c>
      <c r="G87" s="15">
        <v>45.825499999999998</v>
      </c>
      <c r="H87" s="15">
        <v>16780.669999999998</v>
      </c>
      <c r="I87" s="15">
        <v>19.989999999999998</v>
      </c>
      <c r="J87" s="16">
        <f t="shared" si="2"/>
        <v>4.6612972222222213</v>
      </c>
      <c r="L87" s="14">
        <v>5358.9234999999999</v>
      </c>
      <c r="M87" s="15">
        <v>42.958100000000002</v>
      </c>
      <c r="N87" s="15">
        <v>45.529200000000003</v>
      </c>
      <c r="O87" s="15">
        <v>45.825499999999998</v>
      </c>
      <c r="P87" s="15">
        <v>16799</v>
      </c>
      <c r="Q87" s="15">
        <v>19.72</v>
      </c>
      <c r="R87" s="16">
        <f t="shared" si="3"/>
        <v>4.6663888888888891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2580.4162000000001</v>
      </c>
      <c r="E88" s="25">
        <v>38.9634</v>
      </c>
      <c r="F88" s="25">
        <v>42.561999999999998</v>
      </c>
      <c r="G88" s="25">
        <v>42.712200000000003</v>
      </c>
      <c r="H88" s="25">
        <v>14053.82</v>
      </c>
      <c r="I88" s="25">
        <v>16.37</v>
      </c>
      <c r="J88" s="26">
        <f t="shared" si="2"/>
        <v>3.9038388888888886</v>
      </c>
      <c r="L88" s="24">
        <v>2580.4162000000001</v>
      </c>
      <c r="M88" s="25">
        <v>38.9634</v>
      </c>
      <c r="N88" s="25">
        <v>42.561999999999998</v>
      </c>
      <c r="O88" s="25">
        <v>42.712200000000003</v>
      </c>
      <c r="P88" s="25">
        <v>14037.54</v>
      </c>
      <c r="Q88" s="25">
        <v>16.309999999999999</v>
      </c>
      <c r="R88" s="26">
        <f t="shared" si="3"/>
        <v>3.899316666666667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1256.6712</v>
      </c>
      <c r="E89" s="25">
        <v>35.290999999999997</v>
      </c>
      <c r="F89" s="25">
        <v>40.258800000000001</v>
      </c>
      <c r="G89" s="25">
        <v>40.223399999999998</v>
      </c>
      <c r="H89" s="25">
        <v>11646.68</v>
      </c>
      <c r="I89" s="25">
        <v>13.35</v>
      </c>
      <c r="J89" s="26">
        <f t="shared" si="2"/>
        <v>3.2351888888888891</v>
      </c>
      <c r="L89" s="24">
        <v>1256.6712</v>
      </c>
      <c r="M89" s="25">
        <v>35.290999999999997</v>
      </c>
      <c r="N89" s="25">
        <v>40.258800000000001</v>
      </c>
      <c r="O89" s="25">
        <v>40.223399999999998</v>
      </c>
      <c r="P89" s="25">
        <v>11634.06</v>
      </c>
      <c r="Q89" s="25">
        <v>13.22</v>
      </c>
      <c r="R89" s="26">
        <f t="shared" si="3"/>
        <v>3.2316833333333332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614.08460000000002</v>
      </c>
      <c r="E90" s="34">
        <v>32.002000000000002</v>
      </c>
      <c r="F90" s="34">
        <v>38.683999999999997</v>
      </c>
      <c r="G90" s="34">
        <v>38.427500000000002</v>
      </c>
      <c r="H90" s="34">
        <v>9950.67</v>
      </c>
      <c r="I90" s="34">
        <v>10.84</v>
      </c>
      <c r="J90" s="35">
        <f t="shared" si="2"/>
        <v>2.7640750000000001</v>
      </c>
      <c r="L90" s="33">
        <v>614.08460000000002</v>
      </c>
      <c r="M90" s="34">
        <v>32.002000000000002</v>
      </c>
      <c r="N90" s="34">
        <v>38.683999999999997</v>
      </c>
      <c r="O90" s="34">
        <v>38.427500000000002</v>
      </c>
      <c r="P90" s="34">
        <v>9928.43</v>
      </c>
      <c r="Q90" s="34">
        <v>10.85</v>
      </c>
      <c r="R90" s="35">
        <f t="shared" si="3"/>
        <v>2.7578972222222222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323.71440000000001</v>
      </c>
      <c r="E91" s="15">
        <v>46.731499999999997</v>
      </c>
      <c r="F91" s="15">
        <v>45.308700000000002</v>
      </c>
      <c r="G91" s="15">
        <v>45.281500000000001</v>
      </c>
      <c r="H91" s="15">
        <v>4576.18</v>
      </c>
      <c r="I91" s="15">
        <v>4.41</v>
      </c>
      <c r="J91" s="16">
        <f t="shared" si="2"/>
        <v>1.2711611111111112</v>
      </c>
      <c r="L91" s="14">
        <v>323.71440000000001</v>
      </c>
      <c r="M91" s="15">
        <v>46.731499999999997</v>
      </c>
      <c r="N91" s="15">
        <v>45.308700000000002</v>
      </c>
      <c r="O91" s="15">
        <v>45.281500000000001</v>
      </c>
      <c r="P91" s="15">
        <v>4583.57</v>
      </c>
      <c r="Q91" s="15">
        <v>4.4000000000000004</v>
      </c>
      <c r="R91" s="16">
        <f t="shared" si="3"/>
        <v>1.2732138888888889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239.376</v>
      </c>
      <c r="E92" s="25">
        <v>42.601199999999999</v>
      </c>
      <c r="F92" s="25">
        <v>41.144599999999997</v>
      </c>
      <c r="G92" s="25">
        <v>41.156399999999998</v>
      </c>
      <c r="H92" s="25">
        <v>4539.33</v>
      </c>
      <c r="I92" s="25">
        <v>4.3499999999999996</v>
      </c>
      <c r="J92" s="26">
        <f t="shared" si="2"/>
        <v>1.2609250000000001</v>
      </c>
      <c r="L92" s="24">
        <v>239.376</v>
      </c>
      <c r="M92" s="25">
        <v>42.601199999999999</v>
      </c>
      <c r="N92" s="25">
        <v>41.144599999999997</v>
      </c>
      <c r="O92" s="25">
        <v>41.156399999999998</v>
      </c>
      <c r="P92" s="25">
        <v>4530.07</v>
      </c>
      <c r="Q92" s="25">
        <v>4.34</v>
      </c>
      <c r="R92" s="26">
        <f t="shared" si="3"/>
        <v>1.2583527777777777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178.3272</v>
      </c>
      <c r="E93" s="25">
        <v>38.031700000000001</v>
      </c>
      <c r="F93" s="25">
        <v>38.854399999999998</v>
      </c>
      <c r="G93" s="25">
        <v>38.849200000000003</v>
      </c>
      <c r="H93" s="25">
        <v>4438.08</v>
      </c>
      <c r="I93" s="25">
        <v>4.53</v>
      </c>
      <c r="J93" s="26">
        <f t="shared" si="2"/>
        <v>1.2327999999999999</v>
      </c>
      <c r="L93" s="24">
        <v>178.3272</v>
      </c>
      <c r="M93" s="25">
        <v>38.031700000000001</v>
      </c>
      <c r="N93" s="25">
        <v>38.854399999999998</v>
      </c>
      <c r="O93" s="25">
        <v>38.849200000000003</v>
      </c>
      <c r="P93" s="25">
        <v>4423.74</v>
      </c>
      <c r="Q93" s="25">
        <v>4.3</v>
      </c>
      <c r="R93" s="26">
        <f t="shared" si="3"/>
        <v>1.2288166666666667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130.27440000000001</v>
      </c>
      <c r="E94" s="34">
        <v>33.166699999999999</v>
      </c>
      <c r="F94" s="34">
        <v>37.753799999999998</v>
      </c>
      <c r="G94" s="34">
        <v>37.2605</v>
      </c>
      <c r="H94" s="34">
        <v>4379.93</v>
      </c>
      <c r="I94" s="34">
        <v>4.21</v>
      </c>
      <c r="J94" s="35">
        <f t="shared" si="2"/>
        <v>1.2166472222222222</v>
      </c>
      <c r="L94" s="33">
        <v>130.27440000000001</v>
      </c>
      <c r="M94" s="34">
        <v>33.166699999999999</v>
      </c>
      <c r="N94" s="34">
        <v>37.753799999999998</v>
      </c>
      <c r="O94" s="34">
        <v>37.2605</v>
      </c>
      <c r="P94" s="34">
        <v>4388.51</v>
      </c>
      <c r="Q94" s="34">
        <v>4.21</v>
      </c>
      <c r="R94" s="35">
        <f t="shared" si="3"/>
        <v>1.2190305555555556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680.3424</v>
      </c>
      <c r="E95" s="15">
        <v>48.920200000000001</v>
      </c>
      <c r="F95" s="15">
        <v>51.780200000000001</v>
      </c>
      <c r="G95" s="15">
        <v>52.868499999999997</v>
      </c>
      <c r="H95" s="15">
        <v>9681.6299999999992</v>
      </c>
      <c r="I95" s="15">
        <v>9.75</v>
      </c>
      <c r="J95" s="16">
        <f t="shared" si="2"/>
        <v>2.6893416666666665</v>
      </c>
      <c r="L95" s="14">
        <v>680.3424</v>
      </c>
      <c r="M95" s="15">
        <v>48.920200000000001</v>
      </c>
      <c r="N95" s="15">
        <v>51.780200000000001</v>
      </c>
      <c r="O95" s="15">
        <v>52.868499999999997</v>
      </c>
      <c r="P95" s="15">
        <v>9681.07</v>
      </c>
      <c r="Q95" s="15">
        <v>9.8000000000000007</v>
      </c>
      <c r="R95" s="16">
        <f t="shared" si="3"/>
        <v>2.6891861111111108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401.70240000000001</v>
      </c>
      <c r="E96" s="25">
        <v>45.078800000000001</v>
      </c>
      <c r="F96" s="25">
        <v>48.482700000000001</v>
      </c>
      <c r="G96" s="25">
        <v>49.657400000000003</v>
      </c>
      <c r="H96" s="25">
        <v>9197.4500000000007</v>
      </c>
      <c r="I96" s="25">
        <v>9.19</v>
      </c>
      <c r="J96" s="26">
        <f t="shared" si="2"/>
        <v>2.5548472222222225</v>
      </c>
      <c r="L96" s="24">
        <v>401.70240000000001</v>
      </c>
      <c r="M96" s="25">
        <v>45.078800000000001</v>
      </c>
      <c r="N96" s="25">
        <v>48.482700000000001</v>
      </c>
      <c r="O96" s="25">
        <v>49.657400000000003</v>
      </c>
      <c r="P96" s="25">
        <v>9207.09</v>
      </c>
      <c r="Q96" s="25">
        <v>9.3000000000000007</v>
      </c>
      <c r="R96" s="26">
        <f t="shared" si="3"/>
        <v>2.557525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239.3741</v>
      </c>
      <c r="E97" s="25">
        <v>41.252000000000002</v>
      </c>
      <c r="F97" s="25">
        <v>45.620100000000001</v>
      </c>
      <c r="G97" s="25">
        <v>46.977600000000002</v>
      </c>
      <c r="H97" s="25">
        <v>8867.14</v>
      </c>
      <c r="I97" s="25">
        <v>8.6999999999999993</v>
      </c>
      <c r="J97" s="26">
        <f t="shared" si="2"/>
        <v>2.4630944444444443</v>
      </c>
      <c r="L97" s="24">
        <v>239.3741</v>
      </c>
      <c r="M97" s="25">
        <v>41.252000000000002</v>
      </c>
      <c r="N97" s="25">
        <v>45.620100000000001</v>
      </c>
      <c r="O97" s="25">
        <v>46.977600000000002</v>
      </c>
      <c r="P97" s="25">
        <v>8831.73</v>
      </c>
      <c r="Q97" s="25">
        <v>8.7100000000000009</v>
      </c>
      <c r="R97" s="26">
        <f t="shared" si="3"/>
        <v>2.4532583333333333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149.66560000000001</v>
      </c>
      <c r="E98" s="34">
        <v>37.346499999999999</v>
      </c>
      <c r="F98" s="34">
        <v>43.609299999999998</v>
      </c>
      <c r="G98" s="34">
        <v>45.146900000000002</v>
      </c>
      <c r="H98" s="34">
        <v>8569.99</v>
      </c>
      <c r="I98" s="34">
        <v>8.2899999999999991</v>
      </c>
      <c r="J98" s="35">
        <f t="shared" si="2"/>
        <v>2.3805527777777775</v>
      </c>
      <c r="L98" s="33">
        <v>149.66560000000001</v>
      </c>
      <c r="M98" s="34">
        <v>37.346499999999999</v>
      </c>
      <c r="N98" s="34">
        <v>43.609299999999998</v>
      </c>
      <c r="O98" s="34">
        <v>45.146900000000002</v>
      </c>
      <c r="P98" s="34">
        <v>8610.7199999999993</v>
      </c>
      <c r="Q98" s="34">
        <v>8.3000000000000007</v>
      </c>
      <c r="R98" s="35">
        <f t="shared" si="3"/>
        <v>2.3918666666666666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8.8570985677428364</v>
      </c>
      <c r="J107" s="92">
        <f>GEOMEAN(J3:J98)</f>
        <v>1.9812954610906377</v>
      </c>
      <c r="Q107" s="95">
        <f>GEOMEAN(Q3:Q98)</f>
        <v>8.8487856221837671</v>
      </c>
      <c r="R107" s="92">
        <f>GEOMEAN(R3:R98)</f>
        <v>1.9766990485814164</v>
      </c>
    </row>
    <row r="108" spans="1:25" ht="12.75" thickBot="1" x14ac:dyDescent="0.25">
      <c r="B108" s="23" t="s">
        <v>30</v>
      </c>
      <c r="I108" s="96">
        <f>SUM(I3:I98)/3600</f>
        <v>0.30067777777777771</v>
      </c>
      <c r="J108" s="94">
        <f>SUM(J3:J98)</f>
        <v>242.60980833333343</v>
      </c>
      <c r="Q108" s="96">
        <f>SUM(Q3:Q98)/3600</f>
        <v>0.29958611111111111</v>
      </c>
      <c r="R108" s="94">
        <f>SUM(R3:R98)</f>
        <v>242.06856666666664</v>
      </c>
    </row>
    <row r="109" spans="1:25" ht="12.75" thickBot="1" x14ac:dyDescent="0.25">
      <c r="B109" s="32" t="s">
        <v>98</v>
      </c>
      <c r="T109" s="97">
        <f>Q107/I107</f>
        <v>0.99906143693722183</v>
      </c>
      <c r="U109" s="98">
        <f>R107/J107</f>
        <v>0.9976800973910821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9.062988427803937</v>
      </c>
      <c r="J113" s="92">
        <f t="shared" ref="J113:R113" si="11">GEOMEAN(J3:J10, J19:J82)</f>
        <v>1.9582783007679554</v>
      </c>
      <c r="Q113" s="95">
        <f t="shared" si="11"/>
        <v>9.062250606054036</v>
      </c>
      <c r="R113" s="92">
        <f t="shared" si="11"/>
        <v>1.9534977244333365</v>
      </c>
    </row>
    <row r="114" spans="2:21" ht="12.75" thickBot="1" x14ac:dyDescent="0.25">
      <c r="B114" s="23" t="s">
        <v>30</v>
      </c>
      <c r="I114" s="96">
        <f>SUM(I3:I10, I19:I82)/3600</f>
        <v>0.26059444444444441</v>
      </c>
      <c r="J114" s="94">
        <f>SUM(J3:J10, J19:J82)</f>
        <v>206.23644444444452</v>
      </c>
      <c r="Q114" s="96">
        <f t="shared" ref="Q114" si="12">SUM(Q3:Q10, Q19:Q82)/3600</f>
        <v>0.25965277777777779</v>
      </c>
      <c r="R114" s="94">
        <f>SUM(R3:R10, R19:R82)</f>
        <v>205.74709722222224</v>
      </c>
    </row>
    <row r="115" spans="2:21" ht="12.75" thickBot="1" x14ac:dyDescent="0.25">
      <c r="B115" s="32" t="s">
        <v>98</v>
      </c>
      <c r="T115" s="97">
        <f>Q113/I113</f>
        <v>0.99991858957387192</v>
      </c>
      <c r="U115" s="98">
        <f>R113/J113</f>
        <v>0.99755878603529224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47" priority="9" operator="greaterThan">
      <formula>0.03</formula>
    </cfRule>
    <cfRule type="cellIs" dxfId="46" priority="10" stopIfTrue="1" operator="lessThan">
      <formula>-0.03</formula>
    </cfRule>
  </conditionalFormatting>
  <conditionalFormatting sqref="T112:Y112">
    <cfRule type="cellIs" dxfId="45" priority="7" operator="greaterThan">
      <formula>0.03</formula>
    </cfRule>
    <cfRule type="cellIs" dxfId="44" priority="8" stopIfTrue="1" operator="lessThan">
      <formula>-0.03</formula>
    </cfRule>
  </conditionalFormatting>
  <conditionalFormatting sqref="T112:Y112">
    <cfRule type="cellIs" dxfId="43" priority="5" operator="greaterThan">
      <formula>0.03</formula>
    </cfRule>
    <cfRule type="cellIs" dxfId="42" priority="6" stopIfTrue="1" operator="lessThan">
      <formula>-0.03</formula>
    </cfRule>
  </conditionalFormatting>
  <conditionalFormatting sqref="T112:Y112">
    <cfRule type="cellIs" dxfId="41" priority="1" operator="greaterThan">
      <formula>0.03</formula>
    </cfRule>
    <cfRule type="cellIs" dxfId="4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16"/>
  <sheetViews>
    <sheetView zoomScaleNormal="100" workbookViewId="0">
      <pane xSplit="3" ySplit="2" topLeftCell="D9" activePane="bottomRight" state="frozen"/>
      <selection pane="topRight" activeCell="D1" sqref="D1"/>
      <selection pane="bottomLeft" activeCell="A3" sqref="A3"/>
      <selection pane="bottomRight" activeCell="P35" sqref="P35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5480.7071999999998</v>
      </c>
      <c r="E19" s="15">
        <v>41.5535</v>
      </c>
      <c r="F19" s="15">
        <v>43.227800000000002</v>
      </c>
      <c r="G19" s="15">
        <v>44.749000000000002</v>
      </c>
      <c r="H19" s="15">
        <v>15062.79</v>
      </c>
      <c r="I19" s="15">
        <v>20.76</v>
      </c>
      <c r="J19" s="16">
        <f t="shared" ref="J19:J82" si="0">secToHours(H19)</f>
        <v>4.1841083333333335</v>
      </c>
      <c r="L19" s="14">
        <v>5480.7071999999998</v>
      </c>
      <c r="M19" s="15">
        <v>41.5535</v>
      </c>
      <c r="N19" s="15">
        <v>43.227800000000002</v>
      </c>
      <c r="O19" s="15">
        <v>44.749000000000002</v>
      </c>
      <c r="P19" s="15">
        <v>15049.45</v>
      </c>
      <c r="Q19" s="15">
        <v>20.66</v>
      </c>
      <c r="R19" s="16">
        <f t="shared" ref="R19:R82" si="1">secToHours(P19)</f>
        <v>4.1804027777777781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2472.8919999999998</v>
      </c>
      <c r="E20" s="25">
        <v>39.535899999999998</v>
      </c>
      <c r="F20" s="25">
        <v>41.572699999999998</v>
      </c>
      <c r="G20" s="25">
        <v>42.770200000000003</v>
      </c>
      <c r="H20" s="25">
        <v>12199.51</v>
      </c>
      <c r="I20" s="25">
        <v>16.95</v>
      </c>
      <c r="J20" s="26">
        <f t="shared" si="0"/>
        <v>3.3887527777777779</v>
      </c>
      <c r="L20" s="24">
        <v>2472.8919999999998</v>
      </c>
      <c r="M20" s="25">
        <v>39.535899999999998</v>
      </c>
      <c r="N20" s="25">
        <v>41.572699999999998</v>
      </c>
      <c r="O20" s="25">
        <v>42.770200000000003</v>
      </c>
      <c r="P20" s="25">
        <v>12179.4</v>
      </c>
      <c r="Q20" s="25">
        <v>16.54</v>
      </c>
      <c r="R20" s="26">
        <f t="shared" si="1"/>
        <v>3.3831666666666664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1195.2592</v>
      </c>
      <c r="E21" s="25">
        <v>37.005000000000003</v>
      </c>
      <c r="F21" s="25">
        <v>40.241399999999999</v>
      </c>
      <c r="G21" s="25">
        <v>41.455800000000004</v>
      </c>
      <c r="H21" s="25">
        <v>10213.31</v>
      </c>
      <c r="I21" s="25">
        <v>13.92</v>
      </c>
      <c r="J21" s="26">
        <f t="shared" si="0"/>
        <v>2.8370305555555553</v>
      </c>
      <c r="L21" s="24">
        <v>1195.2592</v>
      </c>
      <c r="M21" s="25">
        <v>37.005000000000003</v>
      </c>
      <c r="N21" s="25">
        <v>40.241399999999999</v>
      </c>
      <c r="O21" s="25">
        <v>41.455800000000004</v>
      </c>
      <c r="P21" s="25">
        <v>10183.91</v>
      </c>
      <c r="Q21" s="25">
        <v>13.62</v>
      </c>
      <c r="R21" s="26">
        <f t="shared" si="1"/>
        <v>2.8288638888888888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588.048</v>
      </c>
      <c r="E22" s="34">
        <v>34.416600000000003</v>
      </c>
      <c r="F22" s="34">
        <v>39.406999999999996</v>
      </c>
      <c r="G22" s="34">
        <v>40.726300000000002</v>
      </c>
      <c r="H22" s="34">
        <v>8810.0400000000009</v>
      </c>
      <c r="I22" s="34">
        <v>11.82</v>
      </c>
      <c r="J22" s="35">
        <f t="shared" si="0"/>
        <v>2.4472333333333336</v>
      </c>
      <c r="L22" s="33">
        <v>588.048</v>
      </c>
      <c r="M22" s="34">
        <v>34.416600000000003</v>
      </c>
      <c r="N22" s="34">
        <v>39.406999999999996</v>
      </c>
      <c r="O22" s="34">
        <v>40.726300000000002</v>
      </c>
      <c r="P22" s="34">
        <v>8768.31</v>
      </c>
      <c r="Q22" s="34">
        <v>11.89</v>
      </c>
      <c r="R22" s="35">
        <f t="shared" si="1"/>
        <v>2.4356416666666667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8446.6687999999995</v>
      </c>
      <c r="E23" s="15">
        <v>39.826599999999999</v>
      </c>
      <c r="F23" s="15">
        <v>41.888199999999998</v>
      </c>
      <c r="G23" s="15">
        <v>43.045099999999998</v>
      </c>
      <c r="H23" s="15">
        <v>13402.65</v>
      </c>
      <c r="I23" s="15">
        <v>23.53</v>
      </c>
      <c r="J23" s="16">
        <f t="shared" si="0"/>
        <v>3.7229583333333331</v>
      </c>
      <c r="L23" s="14">
        <v>8446.6687999999995</v>
      </c>
      <c r="M23" s="15">
        <v>39.826599999999999</v>
      </c>
      <c r="N23" s="15">
        <v>41.888199999999998</v>
      </c>
      <c r="O23" s="15">
        <v>43.045099999999998</v>
      </c>
      <c r="P23" s="15">
        <v>13362.71</v>
      </c>
      <c r="Q23" s="15">
        <v>23.71</v>
      </c>
      <c r="R23" s="16">
        <f t="shared" si="1"/>
        <v>3.7118638888888889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3268.2872000000002</v>
      </c>
      <c r="E24" s="25">
        <v>36.949199999999998</v>
      </c>
      <c r="F24" s="25">
        <v>39.772199999999998</v>
      </c>
      <c r="G24" s="25">
        <v>40.7898</v>
      </c>
      <c r="H24" s="25">
        <v>10119.620000000001</v>
      </c>
      <c r="I24" s="25">
        <v>16.899999999999999</v>
      </c>
      <c r="J24" s="26">
        <f t="shared" si="0"/>
        <v>2.811005555555556</v>
      </c>
      <c r="L24" s="24">
        <v>3268.2872000000002</v>
      </c>
      <c r="M24" s="25">
        <v>36.949199999999998</v>
      </c>
      <c r="N24" s="25">
        <v>39.772199999999998</v>
      </c>
      <c r="O24" s="25">
        <v>40.7898</v>
      </c>
      <c r="P24" s="25">
        <v>10091.98</v>
      </c>
      <c r="Q24" s="25">
        <v>16.82</v>
      </c>
      <c r="R24" s="26">
        <f t="shared" si="1"/>
        <v>2.8033277777777776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1366.1751999999999</v>
      </c>
      <c r="E25" s="25">
        <v>34.173900000000003</v>
      </c>
      <c r="F25" s="25">
        <v>38.122399999999999</v>
      </c>
      <c r="G25" s="25">
        <v>39.372999999999998</v>
      </c>
      <c r="H25" s="25">
        <v>8368.33</v>
      </c>
      <c r="I25" s="25">
        <v>13.22</v>
      </c>
      <c r="J25" s="26">
        <f t="shared" si="0"/>
        <v>2.3245361111111111</v>
      </c>
      <c r="L25" s="24">
        <v>1366.1751999999999</v>
      </c>
      <c r="M25" s="25">
        <v>34.173900000000003</v>
      </c>
      <c r="N25" s="25">
        <v>38.122399999999999</v>
      </c>
      <c r="O25" s="25">
        <v>39.372999999999998</v>
      </c>
      <c r="P25" s="25">
        <v>8359.02</v>
      </c>
      <c r="Q25" s="25">
        <v>13.36</v>
      </c>
      <c r="R25" s="26">
        <f t="shared" si="1"/>
        <v>2.3219500000000002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589.39279999999997</v>
      </c>
      <c r="E26" s="34">
        <v>31.583200000000001</v>
      </c>
      <c r="F26" s="34">
        <v>36.979999999999997</v>
      </c>
      <c r="G26" s="34">
        <v>38.589500000000001</v>
      </c>
      <c r="H26" s="34">
        <v>7298.06</v>
      </c>
      <c r="I26" s="34">
        <v>11.11</v>
      </c>
      <c r="J26" s="35">
        <f t="shared" si="0"/>
        <v>2.0272388888888888</v>
      </c>
      <c r="L26" s="33">
        <v>589.39279999999997</v>
      </c>
      <c r="M26" s="34">
        <v>31.583200000000001</v>
      </c>
      <c r="N26" s="34">
        <v>36.979999999999997</v>
      </c>
      <c r="O26" s="34">
        <v>38.589500000000001</v>
      </c>
      <c r="P26" s="34">
        <v>7330.49</v>
      </c>
      <c r="Q26" s="34">
        <v>11.13</v>
      </c>
      <c r="R26" s="35">
        <f t="shared" si="1"/>
        <v>2.0362472222222223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22915.5504</v>
      </c>
      <c r="E27" s="15">
        <v>38.584899999999998</v>
      </c>
      <c r="F27" s="15">
        <v>40.0625</v>
      </c>
      <c r="G27" s="15">
        <v>43.335799999999999</v>
      </c>
      <c r="H27" s="15">
        <v>30232.33</v>
      </c>
      <c r="I27" s="15">
        <v>50.88</v>
      </c>
      <c r="J27" s="16">
        <f t="shared" si="0"/>
        <v>8.3978694444444457</v>
      </c>
      <c r="L27" s="14">
        <v>22915.5504</v>
      </c>
      <c r="M27" s="15">
        <v>38.584899999999998</v>
      </c>
      <c r="N27" s="15">
        <v>40.0625</v>
      </c>
      <c r="O27" s="15">
        <v>43.335799999999999</v>
      </c>
      <c r="P27" s="15">
        <v>30201.56</v>
      </c>
      <c r="Q27" s="15">
        <v>49.86</v>
      </c>
      <c r="R27" s="16">
        <f t="shared" si="1"/>
        <v>8.3893222222222228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6028.9808000000003</v>
      </c>
      <c r="E28" s="25">
        <v>36.625100000000003</v>
      </c>
      <c r="F28" s="25">
        <v>38.868699999999997</v>
      </c>
      <c r="G28" s="25">
        <v>41.409599999999998</v>
      </c>
      <c r="H28" s="25">
        <v>21761.040000000001</v>
      </c>
      <c r="I28" s="25">
        <v>32.17</v>
      </c>
      <c r="J28" s="26">
        <f t="shared" si="0"/>
        <v>6.0447333333333333</v>
      </c>
      <c r="L28" s="24">
        <v>6028.9808000000003</v>
      </c>
      <c r="M28" s="25">
        <v>36.625100000000003</v>
      </c>
      <c r="N28" s="25">
        <v>38.868699999999997</v>
      </c>
      <c r="O28" s="25">
        <v>41.409599999999998</v>
      </c>
      <c r="P28" s="25">
        <v>21671.48</v>
      </c>
      <c r="Q28" s="25">
        <v>32.24</v>
      </c>
      <c r="R28" s="26">
        <f t="shared" si="1"/>
        <v>6.0198555555555551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2652.0136000000002</v>
      </c>
      <c r="E29" s="25">
        <v>34.4968</v>
      </c>
      <c r="F29" s="25">
        <v>37.8964</v>
      </c>
      <c r="G29" s="25">
        <v>39.735399999999998</v>
      </c>
      <c r="H29" s="25">
        <v>18068.04</v>
      </c>
      <c r="I29" s="25">
        <v>26.23</v>
      </c>
      <c r="J29" s="26">
        <f t="shared" si="0"/>
        <v>5.0189000000000004</v>
      </c>
      <c r="L29" s="24">
        <v>2652.0136000000002</v>
      </c>
      <c r="M29" s="25">
        <v>34.4968</v>
      </c>
      <c r="N29" s="25">
        <v>37.8964</v>
      </c>
      <c r="O29" s="25">
        <v>39.735399999999998</v>
      </c>
      <c r="P29" s="25">
        <v>17931.349999999999</v>
      </c>
      <c r="Q29" s="25">
        <v>26.38</v>
      </c>
      <c r="R29" s="26">
        <f t="shared" si="1"/>
        <v>4.9809305555555552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1305.1831999999999</v>
      </c>
      <c r="E30" s="34">
        <v>32.206400000000002</v>
      </c>
      <c r="F30" s="34">
        <v>37.140700000000002</v>
      </c>
      <c r="G30" s="34">
        <v>38.523200000000003</v>
      </c>
      <c r="H30" s="34">
        <v>15839.32</v>
      </c>
      <c r="I30" s="34">
        <v>22.7</v>
      </c>
      <c r="J30" s="35">
        <f t="shared" si="0"/>
        <v>4.3998111111111111</v>
      </c>
      <c r="L30" s="33">
        <v>1305.1831999999999</v>
      </c>
      <c r="M30" s="34">
        <v>32.206400000000002</v>
      </c>
      <c r="N30" s="34">
        <v>37.140700000000002</v>
      </c>
      <c r="O30" s="34">
        <v>38.523200000000003</v>
      </c>
      <c r="P30" s="34">
        <v>15885.77</v>
      </c>
      <c r="Q30" s="34">
        <v>22.59</v>
      </c>
      <c r="R30" s="35">
        <f t="shared" si="1"/>
        <v>4.4127138888888888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21518.068800000001</v>
      </c>
      <c r="E31" s="15">
        <v>39.341799999999999</v>
      </c>
      <c r="F31" s="15">
        <v>43.569600000000001</v>
      </c>
      <c r="G31" s="15">
        <v>44.755099999999999</v>
      </c>
      <c r="H31" s="15">
        <v>36792.46</v>
      </c>
      <c r="I31" s="15">
        <v>52.33</v>
      </c>
      <c r="J31" s="16">
        <f t="shared" si="0"/>
        <v>10.220127777777778</v>
      </c>
      <c r="L31" s="14">
        <v>21518.068800000001</v>
      </c>
      <c r="M31" s="15">
        <v>39.341799999999999</v>
      </c>
      <c r="N31" s="15">
        <v>43.569600000000001</v>
      </c>
      <c r="O31" s="15">
        <v>44.755099999999999</v>
      </c>
      <c r="P31" s="15">
        <v>36816.019999999997</v>
      </c>
      <c r="Q31" s="15">
        <v>51.39</v>
      </c>
      <c r="R31" s="16">
        <f t="shared" si="1"/>
        <v>10.226672222222222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7157.2992000000004</v>
      </c>
      <c r="E32" s="25">
        <v>37.396999999999998</v>
      </c>
      <c r="F32" s="25">
        <v>42.124899999999997</v>
      </c>
      <c r="G32" s="25">
        <v>42.577100000000002</v>
      </c>
      <c r="H32" s="25">
        <v>28003.58</v>
      </c>
      <c r="I32" s="25">
        <v>38.67</v>
      </c>
      <c r="J32" s="26">
        <f t="shared" si="0"/>
        <v>7.7787722222222229</v>
      </c>
      <c r="L32" s="24">
        <v>7157.2992000000004</v>
      </c>
      <c r="M32" s="25">
        <v>37.396999999999998</v>
      </c>
      <c r="N32" s="25">
        <v>42.124899999999997</v>
      </c>
      <c r="O32" s="25">
        <v>42.577100000000002</v>
      </c>
      <c r="P32" s="25">
        <v>27981.09</v>
      </c>
      <c r="Q32" s="25">
        <v>37.950000000000003</v>
      </c>
      <c r="R32" s="26">
        <f t="shared" si="1"/>
        <v>7.7725249999999999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3271.1608000000001</v>
      </c>
      <c r="E33" s="25">
        <v>35.3842</v>
      </c>
      <c r="F33" s="25">
        <v>40.733800000000002</v>
      </c>
      <c r="G33" s="25">
        <v>40.603900000000003</v>
      </c>
      <c r="H33" s="25">
        <v>22917.41</v>
      </c>
      <c r="I33" s="25">
        <v>31.25</v>
      </c>
      <c r="J33" s="26">
        <f t="shared" si="0"/>
        <v>6.3659472222222222</v>
      </c>
      <c r="L33" s="24">
        <v>3271.1608000000001</v>
      </c>
      <c r="M33" s="25">
        <v>35.3842</v>
      </c>
      <c r="N33" s="25">
        <v>40.733800000000002</v>
      </c>
      <c r="O33" s="25">
        <v>40.603900000000003</v>
      </c>
      <c r="P33" s="25">
        <v>22826.19</v>
      </c>
      <c r="Q33" s="25">
        <v>31.3</v>
      </c>
      <c r="R33" s="26">
        <f t="shared" si="1"/>
        <v>6.340608333333333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1659.0024000000001</v>
      </c>
      <c r="E34" s="34">
        <v>33.234099999999998</v>
      </c>
      <c r="F34" s="34">
        <v>39.768700000000003</v>
      </c>
      <c r="G34" s="34">
        <v>39.293999999999997</v>
      </c>
      <c r="H34" s="34">
        <v>19632.14</v>
      </c>
      <c r="I34" s="34">
        <v>26.32</v>
      </c>
      <c r="J34" s="35">
        <f t="shared" si="0"/>
        <v>5.4533722222222218</v>
      </c>
      <c r="L34" s="33">
        <v>1659.0024000000001</v>
      </c>
      <c r="M34" s="34">
        <v>33.234099999999998</v>
      </c>
      <c r="N34" s="34">
        <v>39.768700000000003</v>
      </c>
      <c r="O34" s="34">
        <v>39.293999999999997</v>
      </c>
      <c r="P34" s="34">
        <v>19593.05</v>
      </c>
      <c r="Q34" s="34">
        <v>26.69</v>
      </c>
      <c r="R34" s="35">
        <f t="shared" si="1"/>
        <v>5.4425138888888887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64582.393600000003</v>
      </c>
      <c r="E35" s="15">
        <v>38.290399999999998</v>
      </c>
      <c r="F35" s="15">
        <v>41.830800000000004</v>
      </c>
      <c r="G35" s="15">
        <v>43.989699999999999</v>
      </c>
      <c r="H35" s="15">
        <v>42998.59</v>
      </c>
      <c r="I35" s="15">
        <v>89.28</v>
      </c>
      <c r="J35" s="16">
        <f t="shared" si="0"/>
        <v>11.944052777777777</v>
      </c>
      <c r="L35" s="14">
        <v>64582.393600000003</v>
      </c>
      <c r="M35" s="15">
        <v>38.290399999999998</v>
      </c>
      <c r="N35" s="15">
        <v>41.830800000000004</v>
      </c>
      <c r="O35" s="15">
        <v>43.989699999999999</v>
      </c>
      <c r="P35" s="15">
        <v>43159.75</v>
      </c>
      <c r="Q35" s="15">
        <v>87.96</v>
      </c>
      <c r="R35" s="16">
        <f t="shared" si="1"/>
        <v>11.988819444444445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9753.8423999999995</v>
      </c>
      <c r="E36" s="25">
        <v>35.128300000000003</v>
      </c>
      <c r="F36" s="25">
        <v>40.389800000000001</v>
      </c>
      <c r="G36" s="25">
        <v>42.779299999999999</v>
      </c>
      <c r="H36" s="25">
        <v>23729.72</v>
      </c>
      <c r="I36" s="25">
        <v>44.32</v>
      </c>
      <c r="J36" s="26">
        <f t="shared" si="0"/>
        <v>6.5915888888888894</v>
      </c>
      <c r="L36" s="24">
        <v>9753.8423999999995</v>
      </c>
      <c r="M36" s="25">
        <v>35.128300000000003</v>
      </c>
      <c r="N36" s="25">
        <v>40.389800000000001</v>
      </c>
      <c r="O36" s="25">
        <v>42.779299999999999</v>
      </c>
      <c r="P36" s="25">
        <v>23749.17</v>
      </c>
      <c r="Q36" s="25">
        <v>44.19</v>
      </c>
      <c r="R36" s="26">
        <f t="shared" si="1"/>
        <v>6.5969916666666659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2356.8944000000001</v>
      </c>
      <c r="E37" s="25">
        <v>33.405099999999997</v>
      </c>
      <c r="F37" s="25">
        <v>39.103099999999998</v>
      </c>
      <c r="G37" s="25">
        <v>41.701500000000003</v>
      </c>
      <c r="H37" s="25">
        <v>18014.46</v>
      </c>
      <c r="I37" s="25">
        <v>30.33</v>
      </c>
      <c r="J37" s="26">
        <f t="shared" si="0"/>
        <v>5.0040166666666668</v>
      </c>
      <c r="L37" s="24">
        <v>2356.8944000000001</v>
      </c>
      <c r="M37" s="25">
        <v>33.405099999999997</v>
      </c>
      <c r="N37" s="25">
        <v>39.103099999999998</v>
      </c>
      <c r="O37" s="25">
        <v>41.701500000000003</v>
      </c>
      <c r="P37" s="25">
        <v>17926.86</v>
      </c>
      <c r="Q37" s="25">
        <v>30.29</v>
      </c>
      <c r="R37" s="26">
        <f t="shared" si="1"/>
        <v>4.9796833333333339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844.21600000000001</v>
      </c>
      <c r="E38" s="34">
        <v>31.258199999999999</v>
      </c>
      <c r="F38" s="34">
        <v>38.224400000000003</v>
      </c>
      <c r="G38" s="34">
        <v>40.952300000000001</v>
      </c>
      <c r="H38" s="34">
        <v>15934.12</v>
      </c>
      <c r="I38" s="34">
        <v>25.37</v>
      </c>
      <c r="J38" s="35">
        <f t="shared" si="0"/>
        <v>4.4261444444444447</v>
      </c>
      <c r="L38" s="33">
        <v>844.21600000000001</v>
      </c>
      <c r="M38" s="34">
        <v>31.258199999999999</v>
      </c>
      <c r="N38" s="34">
        <v>38.224400000000003</v>
      </c>
      <c r="O38" s="34">
        <v>40.952300000000001</v>
      </c>
      <c r="P38" s="34">
        <v>15839.24</v>
      </c>
      <c r="Q38" s="34">
        <v>25.09</v>
      </c>
      <c r="R38" s="35">
        <f t="shared" si="1"/>
        <v>4.3997888888888887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3919.3375999999998</v>
      </c>
      <c r="E39" s="15">
        <v>40.164999999999999</v>
      </c>
      <c r="F39" s="15">
        <v>42.7166</v>
      </c>
      <c r="G39" s="15">
        <v>43.253399999999999</v>
      </c>
      <c r="H39" s="15">
        <v>6379.86</v>
      </c>
      <c r="I39" s="15">
        <v>9.77</v>
      </c>
      <c r="J39" s="16">
        <f t="shared" si="0"/>
        <v>1.7721833333333332</v>
      </c>
      <c r="L39" s="14">
        <v>3919.3375999999998</v>
      </c>
      <c r="M39" s="15">
        <v>40.164999999999999</v>
      </c>
      <c r="N39" s="15">
        <v>42.7166</v>
      </c>
      <c r="O39" s="15">
        <v>43.253399999999999</v>
      </c>
      <c r="P39" s="15">
        <v>6360.3</v>
      </c>
      <c r="Q39" s="15">
        <v>9.83</v>
      </c>
      <c r="R39" s="16">
        <f t="shared" si="1"/>
        <v>1.76675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1804.4416000000001</v>
      </c>
      <c r="E40" s="25">
        <v>36.953499999999998</v>
      </c>
      <c r="F40" s="25">
        <v>40.109900000000003</v>
      </c>
      <c r="G40" s="25">
        <v>40.386400000000002</v>
      </c>
      <c r="H40" s="25">
        <v>5139.59</v>
      </c>
      <c r="I40" s="25">
        <v>7.89</v>
      </c>
      <c r="J40" s="26">
        <f t="shared" si="0"/>
        <v>1.4276638888888888</v>
      </c>
      <c r="L40" s="24">
        <v>1804.4416000000001</v>
      </c>
      <c r="M40" s="25">
        <v>36.953499999999998</v>
      </c>
      <c r="N40" s="25">
        <v>40.109900000000003</v>
      </c>
      <c r="O40" s="25">
        <v>40.386400000000002</v>
      </c>
      <c r="P40" s="25">
        <v>5111.72</v>
      </c>
      <c r="Q40" s="25">
        <v>7.91</v>
      </c>
      <c r="R40" s="26">
        <f t="shared" si="1"/>
        <v>1.4199222222222223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853.71119999999996</v>
      </c>
      <c r="E41" s="25">
        <v>34.053899999999999</v>
      </c>
      <c r="F41" s="25">
        <v>37.9985</v>
      </c>
      <c r="G41" s="25">
        <v>38.128700000000002</v>
      </c>
      <c r="H41" s="25">
        <v>4197.1400000000003</v>
      </c>
      <c r="I41" s="25">
        <v>6.19</v>
      </c>
      <c r="J41" s="26">
        <f t="shared" si="0"/>
        <v>1.1658722222222224</v>
      </c>
      <c r="L41" s="24">
        <v>853.71119999999996</v>
      </c>
      <c r="M41" s="25">
        <v>34.053899999999999</v>
      </c>
      <c r="N41" s="25">
        <v>37.9985</v>
      </c>
      <c r="O41" s="25">
        <v>38.128700000000002</v>
      </c>
      <c r="P41" s="25">
        <v>4173.2299999999996</v>
      </c>
      <c r="Q41" s="25">
        <v>6.36</v>
      </c>
      <c r="R41" s="26">
        <f t="shared" si="1"/>
        <v>1.1592305555555555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435.87200000000001</v>
      </c>
      <c r="E42" s="34">
        <v>31.593</v>
      </c>
      <c r="F42" s="34">
        <v>36.545900000000003</v>
      </c>
      <c r="G42" s="34">
        <v>36.57</v>
      </c>
      <c r="H42" s="34">
        <v>3575.45</v>
      </c>
      <c r="I42" s="34">
        <v>4.95</v>
      </c>
      <c r="J42" s="35">
        <f t="shared" si="0"/>
        <v>0.99318055555555551</v>
      </c>
      <c r="L42" s="33">
        <v>435.87200000000001</v>
      </c>
      <c r="M42" s="34">
        <v>31.593</v>
      </c>
      <c r="N42" s="34">
        <v>36.545900000000003</v>
      </c>
      <c r="O42" s="34">
        <v>36.57</v>
      </c>
      <c r="P42" s="34">
        <v>3553.39</v>
      </c>
      <c r="Q42" s="34">
        <v>5.1100000000000003</v>
      </c>
      <c r="R42" s="35">
        <f t="shared" si="1"/>
        <v>0.98705277777777778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4605.0919999999996</v>
      </c>
      <c r="E43" s="15">
        <v>40.0107</v>
      </c>
      <c r="F43" s="15">
        <v>43.005699999999997</v>
      </c>
      <c r="G43" s="15">
        <v>44.375500000000002</v>
      </c>
      <c r="H43" s="15">
        <v>6889.42</v>
      </c>
      <c r="I43" s="15">
        <v>11.41</v>
      </c>
      <c r="J43" s="16">
        <f t="shared" si="0"/>
        <v>1.9137277777777777</v>
      </c>
      <c r="L43" s="14">
        <v>4605.0919999999996</v>
      </c>
      <c r="M43" s="15">
        <v>40.0107</v>
      </c>
      <c r="N43" s="15">
        <v>43.005699999999997</v>
      </c>
      <c r="O43" s="15">
        <v>44.375500000000002</v>
      </c>
      <c r="P43" s="15">
        <v>6907.76</v>
      </c>
      <c r="Q43" s="15">
        <v>11.59</v>
      </c>
      <c r="R43" s="16">
        <f t="shared" si="1"/>
        <v>1.9188222222222222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1977.5360000000001</v>
      </c>
      <c r="E44" s="25">
        <v>37.1357</v>
      </c>
      <c r="F44" s="25">
        <v>40.890300000000003</v>
      </c>
      <c r="G44" s="25">
        <v>41.958199999999998</v>
      </c>
      <c r="H44" s="25">
        <v>5418.47</v>
      </c>
      <c r="I44" s="25">
        <v>8.7899999999999991</v>
      </c>
      <c r="J44" s="26">
        <f t="shared" si="0"/>
        <v>1.5051305555555556</v>
      </c>
      <c r="L44" s="24">
        <v>1977.5360000000001</v>
      </c>
      <c r="M44" s="25">
        <v>37.1357</v>
      </c>
      <c r="N44" s="25">
        <v>40.890300000000003</v>
      </c>
      <c r="O44" s="25">
        <v>41.958199999999998</v>
      </c>
      <c r="P44" s="25">
        <v>5400.67</v>
      </c>
      <c r="Q44" s="25">
        <v>8.65</v>
      </c>
      <c r="R44" s="26">
        <f t="shared" si="1"/>
        <v>1.5001861111111112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937.35199999999998</v>
      </c>
      <c r="E45" s="25">
        <v>34.190899999999999</v>
      </c>
      <c r="F45" s="25">
        <v>39.113700000000001</v>
      </c>
      <c r="G45" s="25">
        <v>40.000399999999999</v>
      </c>
      <c r="H45" s="25">
        <v>4482.59</v>
      </c>
      <c r="I45" s="25">
        <v>7.07</v>
      </c>
      <c r="J45" s="26">
        <f t="shared" si="0"/>
        <v>1.245163888888889</v>
      </c>
      <c r="L45" s="24">
        <v>937.35199999999998</v>
      </c>
      <c r="M45" s="25">
        <v>34.190899999999999</v>
      </c>
      <c r="N45" s="25">
        <v>39.113700000000001</v>
      </c>
      <c r="O45" s="25">
        <v>40.000399999999999</v>
      </c>
      <c r="P45" s="25">
        <v>4490.6899999999996</v>
      </c>
      <c r="Q45" s="25">
        <v>6.9</v>
      </c>
      <c r="R45" s="26">
        <f t="shared" si="1"/>
        <v>1.2474138888888888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470.21839999999997</v>
      </c>
      <c r="E46" s="34">
        <v>31.309200000000001</v>
      </c>
      <c r="F46" s="34">
        <v>37.786999999999999</v>
      </c>
      <c r="G46" s="34">
        <v>38.560699999999997</v>
      </c>
      <c r="H46" s="34">
        <v>3902.41</v>
      </c>
      <c r="I46" s="34">
        <v>5.76</v>
      </c>
      <c r="J46" s="35">
        <f t="shared" si="0"/>
        <v>1.0840027777777776</v>
      </c>
      <c r="L46" s="33">
        <v>470.21839999999997</v>
      </c>
      <c r="M46" s="34">
        <v>31.309200000000001</v>
      </c>
      <c r="N46" s="34">
        <v>37.786999999999999</v>
      </c>
      <c r="O46" s="34">
        <v>38.560699999999997</v>
      </c>
      <c r="P46" s="34">
        <v>3915.78</v>
      </c>
      <c r="Q46" s="34">
        <v>5.79</v>
      </c>
      <c r="R46" s="35">
        <f t="shared" si="1"/>
        <v>1.0877166666666667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9331.7407999999996</v>
      </c>
      <c r="E47" s="15">
        <v>38.267499999999998</v>
      </c>
      <c r="F47" s="15">
        <v>40.994999999999997</v>
      </c>
      <c r="G47" s="15">
        <v>41.930700000000002</v>
      </c>
      <c r="H47" s="15">
        <v>7339.68</v>
      </c>
      <c r="I47" s="15">
        <v>14.12</v>
      </c>
      <c r="J47" s="16">
        <f t="shared" si="0"/>
        <v>2.0388000000000002</v>
      </c>
      <c r="L47" s="14">
        <v>9331.7407999999996</v>
      </c>
      <c r="M47" s="15">
        <v>38.267499999999998</v>
      </c>
      <c r="N47" s="15">
        <v>40.994999999999997</v>
      </c>
      <c r="O47" s="15">
        <v>41.930700000000002</v>
      </c>
      <c r="P47" s="15">
        <v>7310.03</v>
      </c>
      <c r="Q47" s="15">
        <v>14.18</v>
      </c>
      <c r="R47" s="16">
        <f t="shared" si="1"/>
        <v>2.0305638888888886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3703.0720000000001</v>
      </c>
      <c r="E48" s="25">
        <v>34.383699999999997</v>
      </c>
      <c r="F48" s="25">
        <v>38.284399999999998</v>
      </c>
      <c r="G48" s="25">
        <v>39.124699999999997</v>
      </c>
      <c r="H48" s="25">
        <v>5335.43</v>
      </c>
      <c r="I48" s="25">
        <v>9.91</v>
      </c>
      <c r="J48" s="26">
        <f t="shared" si="0"/>
        <v>1.4820638888888891</v>
      </c>
      <c r="L48" s="24">
        <v>3703.0720000000001</v>
      </c>
      <c r="M48" s="25">
        <v>34.383699999999997</v>
      </c>
      <c r="N48" s="25">
        <v>38.284399999999998</v>
      </c>
      <c r="O48" s="25">
        <v>39.124699999999997</v>
      </c>
      <c r="P48" s="25">
        <v>5309.24</v>
      </c>
      <c r="Q48" s="25">
        <v>9.49</v>
      </c>
      <c r="R48" s="26">
        <f t="shared" si="1"/>
        <v>1.4747888888888889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1563.5808</v>
      </c>
      <c r="E49" s="25">
        <v>31.002700000000001</v>
      </c>
      <c r="F49" s="25">
        <v>36.301600000000001</v>
      </c>
      <c r="G49" s="25">
        <v>37.0809</v>
      </c>
      <c r="H49" s="25">
        <v>4153.67</v>
      </c>
      <c r="I49" s="25">
        <v>7.19</v>
      </c>
      <c r="J49" s="26">
        <f t="shared" si="0"/>
        <v>1.1537972222222221</v>
      </c>
      <c r="L49" s="24">
        <v>1563.5808</v>
      </c>
      <c r="M49" s="25">
        <v>31.002700000000001</v>
      </c>
      <c r="N49" s="25">
        <v>36.301600000000001</v>
      </c>
      <c r="O49" s="25">
        <v>37.0809</v>
      </c>
      <c r="P49" s="25">
        <v>4148.3999999999996</v>
      </c>
      <c r="Q49" s="25">
        <v>7.25</v>
      </c>
      <c r="R49" s="26">
        <f t="shared" si="1"/>
        <v>1.1523333333333332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657.99599999999998</v>
      </c>
      <c r="E50" s="34">
        <v>27.808599999999998</v>
      </c>
      <c r="F50" s="34">
        <v>34.924399999999999</v>
      </c>
      <c r="G50" s="34">
        <v>35.673299999999998</v>
      </c>
      <c r="H50" s="34">
        <v>3406.09</v>
      </c>
      <c r="I50" s="34">
        <v>5.54</v>
      </c>
      <c r="J50" s="35">
        <f t="shared" si="0"/>
        <v>0.94613611111111118</v>
      </c>
      <c r="L50" s="33">
        <v>657.99599999999998</v>
      </c>
      <c r="M50" s="34">
        <v>27.808599999999998</v>
      </c>
      <c r="N50" s="34">
        <v>34.924399999999999</v>
      </c>
      <c r="O50" s="34">
        <v>35.673299999999998</v>
      </c>
      <c r="P50" s="34">
        <v>3407.06</v>
      </c>
      <c r="Q50" s="34">
        <v>5.55</v>
      </c>
      <c r="R50" s="35">
        <f t="shared" si="1"/>
        <v>0.9464055555555555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6067.6559999999999</v>
      </c>
      <c r="E51" s="15">
        <v>39.847700000000003</v>
      </c>
      <c r="F51" s="15">
        <v>41.306399999999996</v>
      </c>
      <c r="G51" s="15">
        <v>42.709200000000003</v>
      </c>
      <c r="H51" s="15">
        <v>5754.72</v>
      </c>
      <c r="I51" s="15">
        <v>8.65</v>
      </c>
      <c r="J51" s="16">
        <f t="shared" si="0"/>
        <v>1.5985333333333334</v>
      </c>
      <c r="L51" s="14">
        <v>6067.6559999999999</v>
      </c>
      <c r="M51" s="15">
        <v>39.847700000000003</v>
      </c>
      <c r="N51" s="15">
        <v>41.306399999999996</v>
      </c>
      <c r="O51" s="15">
        <v>42.709200000000003</v>
      </c>
      <c r="P51" s="15">
        <v>5726.29</v>
      </c>
      <c r="Q51" s="15">
        <v>8.5399999999999991</v>
      </c>
      <c r="R51" s="16">
        <f t="shared" si="1"/>
        <v>1.5906361111111111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2363.8944000000001</v>
      </c>
      <c r="E52" s="25">
        <v>36.076099999999997</v>
      </c>
      <c r="F52" s="25">
        <v>38.673999999999999</v>
      </c>
      <c r="G52" s="25">
        <v>40.3444</v>
      </c>
      <c r="H52" s="25">
        <v>4510.47</v>
      </c>
      <c r="I52" s="25">
        <v>6.32</v>
      </c>
      <c r="J52" s="26">
        <f t="shared" si="0"/>
        <v>1.2529083333333335</v>
      </c>
      <c r="L52" s="24">
        <v>2363.8944000000001</v>
      </c>
      <c r="M52" s="25">
        <v>36.076099999999997</v>
      </c>
      <c r="N52" s="25">
        <v>38.673999999999999</v>
      </c>
      <c r="O52" s="25">
        <v>40.3444</v>
      </c>
      <c r="P52" s="25">
        <v>4508.45</v>
      </c>
      <c r="Q52" s="25">
        <v>6.3</v>
      </c>
      <c r="R52" s="26">
        <f t="shared" si="1"/>
        <v>1.2523472222222223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1019.6312</v>
      </c>
      <c r="E53" s="25">
        <v>32.926900000000003</v>
      </c>
      <c r="F53" s="25">
        <v>36.763100000000001</v>
      </c>
      <c r="G53" s="25">
        <v>38.498100000000001</v>
      </c>
      <c r="H53" s="25">
        <v>3612.29</v>
      </c>
      <c r="I53" s="25">
        <v>4.84</v>
      </c>
      <c r="J53" s="26">
        <f t="shared" si="0"/>
        <v>1.0034138888888888</v>
      </c>
      <c r="L53" s="24">
        <v>1019.6312</v>
      </c>
      <c r="M53" s="25">
        <v>32.926900000000003</v>
      </c>
      <c r="N53" s="25">
        <v>36.763100000000001</v>
      </c>
      <c r="O53" s="25">
        <v>38.498100000000001</v>
      </c>
      <c r="P53" s="25">
        <v>3599.66</v>
      </c>
      <c r="Q53" s="25">
        <v>4.8899999999999997</v>
      </c>
      <c r="R53" s="26">
        <f t="shared" si="1"/>
        <v>0.99990555555555549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463.78719999999998</v>
      </c>
      <c r="E54" s="34">
        <v>30.100200000000001</v>
      </c>
      <c r="F54" s="34">
        <v>35.519500000000001</v>
      </c>
      <c r="G54" s="34">
        <v>37.185699999999997</v>
      </c>
      <c r="H54" s="34">
        <v>2972.53</v>
      </c>
      <c r="I54" s="34">
        <v>3.89</v>
      </c>
      <c r="J54" s="35">
        <f t="shared" si="0"/>
        <v>0.82570277777777779</v>
      </c>
      <c r="L54" s="33">
        <v>463.78719999999998</v>
      </c>
      <c r="M54" s="34">
        <v>30.100200000000001</v>
      </c>
      <c r="N54" s="34">
        <v>35.519500000000001</v>
      </c>
      <c r="O54" s="34">
        <v>37.185699999999997</v>
      </c>
      <c r="P54" s="34">
        <v>2956.99</v>
      </c>
      <c r="Q54" s="34">
        <v>3.83</v>
      </c>
      <c r="R54" s="35">
        <f t="shared" si="1"/>
        <v>0.82138611111111104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1771.1351999999999</v>
      </c>
      <c r="E55" s="15">
        <v>40.806899999999999</v>
      </c>
      <c r="F55" s="15">
        <v>43.478400000000001</v>
      </c>
      <c r="G55" s="15">
        <v>42.920999999999999</v>
      </c>
      <c r="H55" s="15">
        <v>1762.96</v>
      </c>
      <c r="I55" s="15">
        <v>3.11</v>
      </c>
      <c r="J55" s="16">
        <f t="shared" si="0"/>
        <v>0.4897111111111111</v>
      </c>
      <c r="L55" s="14">
        <v>1771.1351999999999</v>
      </c>
      <c r="M55" s="15">
        <v>40.806899999999999</v>
      </c>
      <c r="N55" s="15">
        <v>43.478400000000001</v>
      </c>
      <c r="O55" s="15">
        <v>42.920999999999999</v>
      </c>
      <c r="P55" s="15">
        <v>1759.35</v>
      </c>
      <c r="Q55" s="15">
        <v>3.1</v>
      </c>
      <c r="R55" s="16">
        <f t="shared" si="1"/>
        <v>0.4887083333333333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875.78639999999996</v>
      </c>
      <c r="E56" s="25">
        <v>36.930300000000003</v>
      </c>
      <c r="F56" s="25">
        <v>40.672400000000003</v>
      </c>
      <c r="G56" s="25">
        <v>39.6815</v>
      </c>
      <c r="H56" s="25">
        <v>1462.96</v>
      </c>
      <c r="I56" s="25">
        <v>2.5099999999999998</v>
      </c>
      <c r="J56" s="26">
        <f t="shared" si="0"/>
        <v>0.40637777777777778</v>
      </c>
      <c r="L56" s="24">
        <v>875.78639999999996</v>
      </c>
      <c r="M56" s="25">
        <v>36.930300000000003</v>
      </c>
      <c r="N56" s="25">
        <v>40.672400000000003</v>
      </c>
      <c r="O56" s="25">
        <v>39.6815</v>
      </c>
      <c r="P56" s="25">
        <v>1460.23</v>
      </c>
      <c r="Q56" s="25">
        <v>2.52</v>
      </c>
      <c r="R56" s="26">
        <f t="shared" si="1"/>
        <v>0.40561944444444448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425.76319999999998</v>
      </c>
      <c r="E57" s="25">
        <v>33.438400000000001</v>
      </c>
      <c r="F57" s="25">
        <v>38.550600000000003</v>
      </c>
      <c r="G57" s="25">
        <v>37.225700000000003</v>
      </c>
      <c r="H57" s="25">
        <v>1228.1099999999999</v>
      </c>
      <c r="I57" s="25">
        <v>1.96</v>
      </c>
      <c r="J57" s="26">
        <f t="shared" si="0"/>
        <v>0.34114166666666662</v>
      </c>
      <c r="L57" s="24">
        <v>425.76319999999998</v>
      </c>
      <c r="M57" s="25">
        <v>33.438400000000001</v>
      </c>
      <c r="N57" s="25">
        <v>38.550600000000003</v>
      </c>
      <c r="O57" s="25">
        <v>37.225700000000003</v>
      </c>
      <c r="P57" s="25">
        <v>1216.06</v>
      </c>
      <c r="Q57" s="25">
        <v>2.02</v>
      </c>
      <c r="R57" s="26">
        <f t="shared" si="1"/>
        <v>0.33779444444444445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215.0984</v>
      </c>
      <c r="E58" s="34">
        <v>30.475999999999999</v>
      </c>
      <c r="F58" s="34">
        <v>37.1432</v>
      </c>
      <c r="G58" s="34">
        <v>35.61</v>
      </c>
      <c r="H58" s="34">
        <v>1020.7</v>
      </c>
      <c r="I58" s="34">
        <v>1.62</v>
      </c>
      <c r="J58" s="35">
        <f t="shared" si="0"/>
        <v>0.28352777777777777</v>
      </c>
      <c r="L58" s="33">
        <v>215.0984</v>
      </c>
      <c r="M58" s="34">
        <v>30.475999999999999</v>
      </c>
      <c r="N58" s="34">
        <v>37.1432</v>
      </c>
      <c r="O58" s="34">
        <v>35.61</v>
      </c>
      <c r="P58" s="34">
        <v>1028.0899999999999</v>
      </c>
      <c r="Q58" s="34">
        <v>1.65</v>
      </c>
      <c r="R58" s="35">
        <f t="shared" si="1"/>
        <v>0.28558055555555556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2763.0207999999998</v>
      </c>
      <c r="E59" s="15">
        <v>38.344299999999997</v>
      </c>
      <c r="F59" s="15">
        <v>42.580100000000002</v>
      </c>
      <c r="G59" s="15">
        <v>43.539900000000003</v>
      </c>
      <c r="H59" s="15">
        <v>1905.71</v>
      </c>
      <c r="I59" s="15">
        <v>4.2699999999999996</v>
      </c>
      <c r="J59" s="16">
        <f t="shared" si="0"/>
        <v>0.52936388888888886</v>
      </c>
      <c r="L59" s="14">
        <v>2763.0207999999998</v>
      </c>
      <c r="M59" s="15">
        <v>38.344299999999997</v>
      </c>
      <c r="N59" s="15">
        <v>42.580100000000002</v>
      </c>
      <c r="O59" s="15">
        <v>43.539900000000003</v>
      </c>
      <c r="P59" s="15">
        <v>1905.01</v>
      </c>
      <c r="Q59" s="15">
        <v>4.29</v>
      </c>
      <c r="R59" s="16">
        <f t="shared" si="1"/>
        <v>0.52916944444444447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907.95039999999995</v>
      </c>
      <c r="E60" s="25">
        <v>34.273899999999998</v>
      </c>
      <c r="F60" s="25">
        <v>40.602800000000002</v>
      </c>
      <c r="G60" s="25">
        <v>41.532600000000002</v>
      </c>
      <c r="H60" s="25">
        <v>1330.03</v>
      </c>
      <c r="I60" s="25">
        <v>2.97</v>
      </c>
      <c r="J60" s="26">
        <f t="shared" si="0"/>
        <v>0.3694527777777778</v>
      </c>
      <c r="L60" s="24">
        <v>907.95039999999995</v>
      </c>
      <c r="M60" s="25">
        <v>34.273899999999998</v>
      </c>
      <c r="N60" s="25">
        <v>40.602800000000002</v>
      </c>
      <c r="O60" s="25">
        <v>41.532600000000002</v>
      </c>
      <c r="P60" s="25">
        <v>1348.22</v>
      </c>
      <c r="Q60" s="25">
        <v>2.95</v>
      </c>
      <c r="R60" s="26">
        <f t="shared" si="1"/>
        <v>0.37450555555555554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336.92239999999998</v>
      </c>
      <c r="E61" s="25">
        <v>31.2164</v>
      </c>
      <c r="F61" s="25">
        <v>39.2761</v>
      </c>
      <c r="G61" s="25">
        <v>40.029200000000003</v>
      </c>
      <c r="H61" s="25">
        <v>992.64</v>
      </c>
      <c r="I61" s="25">
        <v>2.11</v>
      </c>
      <c r="J61" s="26">
        <f t="shared" si="0"/>
        <v>0.27573333333333333</v>
      </c>
      <c r="L61" s="24">
        <v>336.92239999999998</v>
      </c>
      <c r="M61" s="25">
        <v>31.2164</v>
      </c>
      <c r="N61" s="25">
        <v>39.2761</v>
      </c>
      <c r="O61" s="25">
        <v>40.029200000000003</v>
      </c>
      <c r="P61" s="25">
        <v>985.02</v>
      </c>
      <c r="Q61" s="25">
        <v>2.12</v>
      </c>
      <c r="R61" s="26">
        <f t="shared" si="1"/>
        <v>0.27361666666666667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130.7448</v>
      </c>
      <c r="E62" s="34">
        <v>28.2637</v>
      </c>
      <c r="F62" s="34">
        <v>38.25</v>
      </c>
      <c r="G62" s="34">
        <v>38.9497</v>
      </c>
      <c r="H62" s="34">
        <v>821.34</v>
      </c>
      <c r="I62" s="34">
        <v>1.7</v>
      </c>
      <c r="J62" s="35">
        <f t="shared" si="0"/>
        <v>0.22815000000000002</v>
      </c>
      <c r="L62" s="33">
        <v>130.7448</v>
      </c>
      <c r="M62" s="34">
        <v>28.2637</v>
      </c>
      <c r="N62" s="34">
        <v>38.25</v>
      </c>
      <c r="O62" s="34">
        <v>38.9497</v>
      </c>
      <c r="P62" s="34">
        <v>818.22</v>
      </c>
      <c r="Q62" s="34">
        <v>1.69</v>
      </c>
      <c r="R62" s="35">
        <f t="shared" si="1"/>
        <v>0.22728333333333334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2153.3824</v>
      </c>
      <c r="E63" s="15">
        <v>38.0212</v>
      </c>
      <c r="F63" s="15">
        <v>40.722999999999999</v>
      </c>
      <c r="G63" s="15">
        <v>41.434899999999999</v>
      </c>
      <c r="H63" s="15">
        <v>1631.9</v>
      </c>
      <c r="I63" s="15">
        <v>3.52</v>
      </c>
      <c r="J63" s="16">
        <f t="shared" si="0"/>
        <v>0.45330555555555557</v>
      </c>
      <c r="L63" s="14">
        <v>2153.3824</v>
      </c>
      <c r="M63" s="15">
        <v>38.0212</v>
      </c>
      <c r="N63" s="15">
        <v>40.722999999999999</v>
      </c>
      <c r="O63" s="15">
        <v>41.434899999999999</v>
      </c>
      <c r="P63" s="15">
        <v>1630.97</v>
      </c>
      <c r="Q63" s="15">
        <v>3.51</v>
      </c>
      <c r="R63" s="16">
        <f t="shared" si="1"/>
        <v>0.45304722222222221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863.48879999999997</v>
      </c>
      <c r="E64" s="25">
        <v>34.2622</v>
      </c>
      <c r="F64" s="25">
        <v>37.992100000000001</v>
      </c>
      <c r="G64" s="25">
        <v>38.560699999999997</v>
      </c>
      <c r="H64" s="25">
        <v>1197.6500000000001</v>
      </c>
      <c r="I64" s="25">
        <v>2.4900000000000002</v>
      </c>
      <c r="J64" s="26">
        <f t="shared" si="0"/>
        <v>0.33268055555555559</v>
      </c>
      <c r="L64" s="24">
        <v>863.48879999999997</v>
      </c>
      <c r="M64" s="25">
        <v>34.2622</v>
      </c>
      <c r="N64" s="25">
        <v>37.992100000000001</v>
      </c>
      <c r="O64" s="25">
        <v>38.560699999999997</v>
      </c>
      <c r="P64" s="25">
        <v>1181.8</v>
      </c>
      <c r="Q64" s="25">
        <v>2.4700000000000002</v>
      </c>
      <c r="R64" s="26">
        <f t="shared" si="1"/>
        <v>0.32827777777777778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361.95839999999998</v>
      </c>
      <c r="E65" s="25">
        <v>30.837</v>
      </c>
      <c r="F65" s="25">
        <v>35.934899999999999</v>
      </c>
      <c r="G65" s="25">
        <v>36.476700000000001</v>
      </c>
      <c r="H65" s="25">
        <v>920.46</v>
      </c>
      <c r="I65" s="25">
        <v>1.84</v>
      </c>
      <c r="J65" s="26">
        <f t="shared" si="0"/>
        <v>0.25568333333333332</v>
      </c>
      <c r="L65" s="24">
        <v>361.95839999999998</v>
      </c>
      <c r="M65" s="25">
        <v>30.837</v>
      </c>
      <c r="N65" s="25">
        <v>35.934899999999999</v>
      </c>
      <c r="O65" s="25">
        <v>36.476700000000001</v>
      </c>
      <c r="P65" s="25">
        <v>919.21</v>
      </c>
      <c r="Q65" s="25">
        <v>1.84</v>
      </c>
      <c r="R65" s="26">
        <f t="shared" si="1"/>
        <v>0.2553361111111111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151.9736</v>
      </c>
      <c r="E66" s="34">
        <v>27.794</v>
      </c>
      <c r="F66" s="34">
        <v>34.452399999999997</v>
      </c>
      <c r="G66" s="34">
        <v>35.012900000000002</v>
      </c>
      <c r="H66" s="34">
        <v>752.91</v>
      </c>
      <c r="I66" s="34">
        <v>1.48</v>
      </c>
      <c r="J66" s="35">
        <f t="shared" si="0"/>
        <v>0.20914166666666667</v>
      </c>
      <c r="L66" s="33">
        <v>151.9736</v>
      </c>
      <c r="M66" s="34">
        <v>27.794</v>
      </c>
      <c r="N66" s="34">
        <v>34.452399999999997</v>
      </c>
      <c r="O66" s="34">
        <v>35.012900000000002</v>
      </c>
      <c r="P66" s="34">
        <v>756.69</v>
      </c>
      <c r="Q66" s="34">
        <v>1.36</v>
      </c>
      <c r="R66" s="35">
        <f t="shared" si="1"/>
        <v>0.21019166666666669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1376.8047999999999</v>
      </c>
      <c r="E67" s="15">
        <v>39.766399999999997</v>
      </c>
      <c r="F67" s="15">
        <v>41.145600000000002</v>
      </c>
      <c r="G67" s="15">
        <v>42.2393</v>
      </c>
      <c r="H67" s="15">
        <v>1319.26</v>
      </c>
      <c r="I67" s="15">
        <v>2.3199999999999998</v>
      </c>
      <c r="J67" s="16">
        <f t="shared" si="0"/>
        <v>0.36646111111111113</v>
      </c>
      <c r="L67" s="14">
        <v>1376.8047999999999</v>
      </c>
      <c r="M67" s="15">
        <v>39.766399999999997</v>
      </c>
      <c r="N67" s="15">
        <v>41.145600000000002</v>
      </c>
      <c r="O67" s="15">
        <v>42.2393</v>
      </c>
      <c r="P67" s="15">
        <v>1312.03</v>
      </c>
      <c r="Q67" s="15">
        <v>2.31</v>
      </c>
      <c r="R67" s="16">
        <f t="shared" si="1"/>
        <v>0.36445277777777779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643.8288</v>
      </c>
      <c r="E68" s="25">
        <v>35.755299999999998</v>
      </c>
      <c r="F68" s="25">
        <v>38.263300000000001</v>
      </c>
      <c r="G68" s="25">
        <v>39.494700000000002</v>
      </c>
      <c r="H68" s="25">
        <v>1076.9100000000001</v>
      </c>
      <c r="I68" s="25">
        <v>1.87</v>
      </c>
      <c r="J68" s="26">
        <f t="shared" si="0"/>
        <v>0.29914166666666669</v>
      </c>
      <c r="L68" s="24">
        <v>643.8288</v>
      </c>
      <c r="M68" s="25">
        <v>35.755299999999998</v>
      </c>
      <c r="N68" s="25">
        <v>38.263300000000001</v>
      </c>
      <c r="O68" s="25">
        <v>39.494700000000002</v>
      </c>
      <c r="P68" s="25">
        <v>1072.02</v>
      </c>
      <c r="Q68" s="25">
        <v>1.77</v>
      </c>
      <c r="R68" s="26">
        <f t="shared" si="1"/>
        <v>0.29778333333333334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300.78559999999999</v>
      </c>
      <c r="E69" s="25">
        <v>32.190899999999999</v>
      </c>
      <c r="F69" s="25">
        <v>36.2333</v>
      </c>
      <c r="G69" s="25">
        <v>37.394399999999997</v>
      </c>
      <c r="H69" s="25">
        <v>864.05</v>
      </c>
      <c r="I69" s="25">
        <v>1.41</v>
      </c>
      <c r="J69" s="26">
        <f t="shared" si="0"/>
        <v>0.24001388888888889</v>
      </c>
      <c r="L69" s="24">
        <v>300.78559999999999</v>
      </c>
      <c r="M69" s="25">
        <v>32.190899999999999</v>
      </c>
      <c r="N69" s="25">
        <v>36.2333</v>
      </c>
      <c r="O69" s="25">
        <v>37.394399999999997</v>
      </c>
      <c r="P69" s="25">
        <v>863.57</v>
      </c>
      <c r="Q69" s="25">
        <v>1.41</v>
      </c>
      <c r="R69" s="26">
        <f t="shared" si="1"/>
        <v>0.23988055555555557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144.6696</v>
      </c>
      <c r="E70" s="34">
        <v>29.322700000000001</v>
      </c>
      <c r="F70" s="34">
        <v>34.819099999999999</v>
      </c>
      <c r="G70" s="34">
        <v>35.902999999999999</v>
      </c>
      <c r="H70" s="34">
        <v>707.35</v>
      </c>
      <c r="I70" s="34">
        <v>1.1000000000000001</v>
      </c>
      <c r="J70" s="35">
        <f t="shared" si="0"/>
        <v>0.19648611111111111</v>
      </c>
      <c r="L70" s="33">
        <v>144.6696</v>
      </c>
      <c r="M70" s="34">
        <v>29.322700000000001</v>
      </c>
      <c r="N70" s="34">
        <v>34.819099999999999</v>
      </c>
      <c r="O70" s="34">
        <v>35.902999999999999</v>
      </c>
      <c r="P70" s="34">
        <v>703.23</v>
      </c>
      <c r="Q70" s="34">
        <v>1.1100000000000001</v>
      </c>
      <c r="R70" s="35">
        <f t="shared" si="1"/>
        <v>0.19534166666666666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2438.9535999999998</v>
      </c>
      <c r="E71" s="15">
        <v>42.376800000000003</v>
      </c>
      <c r="F71" s="15">
        <v>46.267299999999999</v>
      </c>
      <c r="G71" s="15">
        <v>47.526400000000002</v>
      </c>
      <c r="H71" s="15">
        <v>8766.5499999999993</v>
      </c>
      <c r="I71" s="15">
        <v>14.38</v>
      </c>
      <c r="J71" s="16">
        <f t="shared" si="0"/>
        <v>2.4351527777777777</v>
      </c>
      <c r="L71" s="14">
        <v>2438.9535999999998</v>
      </c>
      <c r="M71" s="15">
        <v>42.376800000000003</v>
      </c>
      <c r="N71" s="15">
        <v>46.267299999999999</v>
      </c>
      <c r="O71" s="15">
        <v>47.526400000000002</v>
      </c>
      <c r="P71" s="15">
        <v>8732.3700000000008</v>
      </c>
      <c r="Q71" s="15">
        <v>13.78</v>
      </c>
      <c r="R71" s="16">
        <f t="shared" si="1"/>
        <v>2.4256583333333337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900.20799999999997</v>
      </c>
      <c r="E72" s="25">
        <v>40.115900000000003</v>
      </c>
      <c r="F72" s="25">
        <v>44.212000000000003</v>
      </c>
      <c r="G72" s="25">
        <v>45.460999999999999</v>
      </c>
      <c r="H72" s="25">
        <v>7338.42</v>
      </c>
      <c r="I72" s="25">
        <v>11.26</v>
      </c>
      <c r="J72" s="26">
        <f t="shared" si="0"/>
        <v>2.0384500000000001</v>
      </c>
      <c r="L72" s="24">
        <v>900.20799999999997</v>
      </c>
      <c r="M72" s="25">
        <v>40.115900000000003</v>
      </c>
      <c r="N72" s="25">
        <v>44.212000000000003</v>
      </c>
      <c r="O72" s="25">
        <v>45.460999999999999</v>
      </c>
      <c r="P72" s="25">
        <v>7324.63</v>
      </c>
      <c r="Q72" s="25">
        <v>11.46</v>
      </c>
      <c r="R72" s="26">
        <f t="shared" si="1"/>
        <v>2.0346194444444445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435.25119999999998</v>
      </c>
      <c r="E73" s="25">
        <v>37.508299999999998</v>
      </c>
      <c r="F73" s="25">
        <v>42.4131</v>
      </c>
      <c r="G73" s="25">
        <v>43.624099999999999</v>
      </c>
      <c r="H73" s="25">
        <v>6701.04</v>
      </c>
      <c r="I73" s="25">
        <v>10.039999999999999</v>
      </c>
      <c r="J73" s="26">
        <f t="shared" si="0"/>
        <v>1.8613999999999999</v>
      </c>
      <c r="L73" s="24">
        <v>435.25119999999998</v>
      </c>
      <c r="M73" s="25">
        <v>37.508299999999998</v>
      </c>
      <c r="N73" s="25">
        <v>42.4131</v>
      </c>
      <c r="O73" s="25">
        <v>43.624099999999999</v>
      </c>
      <c r="P73" s="25">
        <v>6677.83</v>
      </c>
      <c r="Q73" s="25">
        <v>10.23</v>
      </c>
      <c r="R73" s="26">
        <f t="shared" si="1"/>
        <v>1.8549527777777777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226.17760000000001</v>
      </c>
      <c r="E74" s="34">
        <v>34.588500000000003</v>
      </c>
      <c r="F74" s="34">
        <v>41.092700000000001</v>
      </c>
      <c r="G74" s="34">
        <v>42.197800000000001</v>
      </c>
      <c r="H74" s="34">
        <v>6365.33</v>
      </c>
      <c r="I74" s="34">
        <v>9.31</v>
      </c>
      <c r="J74" s="35">
        <f t="shared" si="0"/>
        <v>1.7681472222222221</v>
      </c>
      <c r="L74" s="33">
        <v>226.17760000000001</v>
      </c>
      <c r="M74" s="34">
        <v>34.588500000000003</v>
      </c>
      <c r="N74" s="34">
        <v>41.092700000000001</v>
      </c>
      <c r="O74" s="34">
        <v>42.197800000000001</v>
      </c>
      <c r="P74" s="34">
        <v>6389.07</v>
      </c>
      <c r="Q74" s="34">
        <v>9.35</v>
      </c>
      <c r="R74" s="35">
        <f t="shared" si="1"/>
        <v>1.7747416666666667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1862.8679999999999</v>
      </c>
      <c r="E75" s="15">
        <v>42.776600000000002</v>
      </c>
      <c r="F75" s="15">
        <v>47.804400000000001</v>
      </c>
      <c r="G75" s="15">
        <v>48.447600000000001</v>
      </c>
      <c r="H75" s="15">
        <v>8288.41</v>
      </c>
      <c r="I75" s="15">
        <v>13.56</v>
      </c>
      <c r="J75" s="16">
        <f t="shared" si="0"/>
        <v>2.3023361111111109</v>
      </c>
      <c r="L75" s="14">
        <v>1862.8679999999999</v>
      </c>
      <c r="M75" s="15">
        <v>42.776600000000002</v>
      </c>
      <c r="N75" s="15">
        <v>47.804400000000001</v>
      </c>
      <c r="O75" s="15">
        <v>48.447600000000001</v>
      </c>
      <c r="P75" s="15">
        <v>8320.82</v>
      </c>
      <c r="Q75" s="15">
        <v>13.79</v>
      </c>
      <c r="R75" s="16">
        <f t="shared" si="1"/>
        <v>2.3113388888888888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459.7672</v>
      </c>
      <c r="E76" s="25">
        <v>40.981900000000003</v>
      </c>
      <c r="F76" s="25">
        <v>46.097999999999999</v>
      </c>
      <c r="G76" s="25">
        <v>46.785899999999998</v>
      </c>
      <c r="H76" s="25">
        <v>6775.24</v>
      </c>
      <c r="I76" s="25">
        <v>10.63</v>
      </c>
      <c r="J76" s="26">
        <f t="shared" si="0"/>
        <v>1.8820111111111111</v>
      </c>
      <c r="L76" s="24">
        <v>459.7672</v>
      </c>
      <c r="M76" s="25">
        <v>40.981900000000003</v>
      </c>
      <c r="N76" s="25">
        <v>46.097999999999999</v>
      </c>
      <c r="O76" s="25">
        <v>46.785899999999998</v>
      </c>
      <c r="P76" s="25">
        <v>6813.71</v>
      </c>
      <c r="Q76" s="25">
        <v>10.41</v>
      </c>
      <c r="R76" s="26">
        <f t="shared" si="1"/>
        <v>1.8926972222222223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190.49199999999999</v>
      </c>
      <c r="E77" s="25">
        <v>38.843000000000004</v>
      </c>
      <c r="F77" s="25">
        <v>44.4161</v>
      </c>
      <c r="G77" s="25">
        <v>44.917400000000001</v>
      </c>
      <c r="H77" s="25">
        <v>6294.19</v>
      </c>
      <c r="I77" s="25">
        <v>9.4700000000000006</v>
      </c>
      <c r="J77" s="26">
        <f t="shared" si="0"/>
        <v>1.748386111111111</v>
      </c>
      <c r="L77" s="24">
        <v>190.49199999999999</v>
      </c>
      <c r="M77" s="25">
        <v>38.843000000000004</v>
      </c>
      <c r="N77" s="25">
        <v>44.4161</v>
      </c>
      <c r="O77" s="25">
        <v>44.917400000000001</v>
      </c>
      <c r="P77" s="25">
        <v>6197.23</v>
      </c>
      <c r="Q77" s="25">
        <v>9.42</v>
      </c>
      <c r="R77" s="26">
        <f t="shared" si="1"/>
        <v>1.7214527777777777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97.880799999999994</v>
      </c>
      <c r="E78" s="34">
        <v>36.384799999999998</v>
      </c>
      <c r="F78" s="34">
        <v>43.162199999999999</v>
      </c>
      <c r="G78" s="34">
        <v>43.542499999999997</v>
      </c>
      <c r="H78" s="34">
        <v>6047.5</v>
      </c>
      <c r="I78" s="34">
        <v>8.85</v>
      </c>
      <c r="J78" s="35">
        <f t="shared" si="0"/>
        <v>1.679861111111111</v>
      </c>
      <c r="L78" s="33">
        <v>97.880799999999994</v>
      </c>
      <c r="M78" s="34">
        <v>36.384799999999998</v>
      </c>
      <c r="N78" s="34">
        <v>43.162199999999999</v>
      </c>
      <c r="O78" s="34">
        <v>43.542499999999997</v>
      </c>
      <c r="P78" s="34">
        <v>5935.65</v>
      </c>
      <c r="Q78" s="34">
        <v>9.19</v>
      </c>
      <c r="R78" s="35">
        <f t="shared" si="1"/>
        <v>1.6487916666666667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2165.6264000000001</v>
      </c>
      <c r="E79" s="15">
        <v>43.113799999999998</v>
      </c>
      <c r="F79" s="15">
        <v>46.986199999999997</v>
      </c>
      <c r="G79" s="15">
        <v>47.9405</v>
      </c>
      <c r="H79" s="15">
        <v>9142.94</v>
      </c>
      <c r="I79" s="15">
        <v>14.71</v>
      </c>
      <c r="J79" s="16">
        <f t="shared" si="0"/>
        <v>2.5397055555555559</v>
      </c>
      <c r="L79" s="14">
        <v>2165.6264000000001</v>
      </c>
      <c r="M79" s="15">
        <v>43.113799999999998</v>
      </c>
      <c r="N79" s="15">
        <v>46.986199999999997</v>
      </c>
      <c r="O79" s="15">
        <v>47.9405</v>
      </c>
      <c r="P79" s="15">
        <v>9156.4699999999993</v>
      </c>
      <c r="Q79" s="15">
        <v>14.62</v>
      </c>
      <c r="R79" s="16">
        <f t="shared" si="1"/>
        <v>2.5434638888888887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728.2944</v>
      </c>
      <c r="E80" s="25">
        <v>40.999499999999998</v>
      </c>
      <c r="F80" s="25">
        <v>45.143999999999998</v>
      </c>
      <c r="G80" s="25">
        <v>46.035200000000003</v>
      </c>
      <c r="H80" s="25">
        <v>7680.82</v>
      </c>
      <c r="I80" s="25">
        <v>11.75</v>
      </c>
      <c r="J80" s="26">
        <f t="shared" si="0"/>
        <v>2.1335611111111112</v>
      </c>
      <c r="L80" s="24">
        <v>728.2944</v>
      </c>
      <c r="M80" s="25">
        <v>40.999499999999998</v>
      </c>
      <c r="N80" s="25">
        <v>45.143999999999998</v>
      </c>
      <c r="O80" s="25">
        <v>46.035200000000003</v>
      </c>
      <c r="P80" s="25">
        <v>7736.06</v>
      </c>
      <c r="Q80" s="25">
        <v>11.69</v>
      </c>
      <c r="R80" s="26">
        <f t="shared" si="1"/>
        <v>2.1489055555555558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325.52080000000001</v>
      </c>
      <c r="E81" s="25">
        <v>38.5944</v>
      </c>
      <c r="F81" s="25">
        <v>43.271500000000003</v>
      </c>
      <c r="G81" s="25">
        <v>44.268799999999999</v>
      </c>
      <c r="H81" s="25">
        <v>6973.09</v>
      </c>
      <c r="I81" s="25">
        <v>10.6</v>
      </c>
      <c r="J81" s="26">
        <f t="shared" si="0"/>
        <v>1.9369694444444445</v>
      </c>
      <c r="L81" s="24">
        <v>325.52080000000001</v>
      </c>
      <c r="M81" s="25">
        <v>38.5944</v>
      </c>
      <c r="N81" s="25">
        <v>43.271500000000003</v>
      </c>
      <c r="O81" s="25">
        <v>44.268799999999999</v>
      </c>
      <c r="P81" s="25">
        <v>6898.12</v>
      </c>
      <c r="Q81" s="25">
        <v>10.42</v>
      </c>
      <c r="R81" s="26">
        <f t="shared" si="1"/>
        <v>1.9161444444444444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165.76320000000001</v>
      </c>
      <c r="E82" s="34">
        <v>35.876199999999997</v>
      </c>
      <c r="F82" s="34">
        <v>41.983699999999999</v>
      </c>
      <c r="G82" s="34">
        <v>42.857999999999997</v>
      </c>
      <c r="H82" s="34">
        <v>6518.16</v>
      </c>
      <c r="I82" s="34">
        <v>9.82</v>
      </c>
      <c r="J82" s="35">
        <f t="shared" si="0"/>
        <v>1.8106</v>
      </c>
      <c r="L82" s="33">
        <v>165.76320000000001</v>
      </c>
      <c r="M82" s="34">
        <v>35.876199999999997</v>
      </c>
      <c r="N82" s="34">
        <v>41.983699999999999</v>
      </c>
      <c r="O82" s="34">
        <v>42.857999999999997</v>
      </c>
      <c r="P82" s="34">
        <v>6476.62</v>
      </c>
      <c r="Q82" s="34">
        <v>9.6300000000000008</v>
      </c>
      <c r="R82" s="35">
        <f t="shared" si="1"/>
        <v>1.799061111111111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4264.0064000000002</v>
      </c>
      <c r="E83" s="15">
        <v>40.294800000000002</v>
      </c>
      <c r="F83" s="15">
        <v>42.569000000000003</v>
      </c>
      <c r="G83" s="15">
        <v>43.097000000000001</v>
      </c>
      <c r="H83" s="15">
        <v>6280.41</v>
      </c>
      <c r="I83" s="15">
        <v>9.8699999999999992</v>
      </c>
      <c r="J83" s="16">
        <f t="shared" ref="J83:J98" si="2">secToHours(H83)</f>
        <v>1.7445583333333332</v>
      </c>
      <c r="L83" s="14">
        <v>4264.0064000000002</v>
      </c>
      <c r="M83" s="15">
        <v>40.294800000000002</v>
      </c>
      <c r="N83" s="15">
        <v>42.569000000000003</v>
      </c>
      <c r="O83" s="15">
        <v>43.097000000000001</v>
      </c>
      <c r="P83" s="15">
        <v>6285.72</v>
      </c>
      <c r="Q83" s="15">
        <v>10.29</v>
      </c>
      <c r="R83" s="16">
        <f t="shared" ref="R83:R98" si="3">secToHours(P83)</f>
        <v>1.7460333333333333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1967.1712</v>
      </c>
      <c r="E84" s="25">
        <v>36.940399999999997</v>
      </c>
      <c r="F84" s="25">
        <v>39.725099999999998</v>
      </c>
      <c r="G84" s="25">
        <v>40.021700000000003</v>
      </c>
      <c r="H84" s="25">
        <v>5141.3</v>
      </c>
      <c r="I84" s="25">
        <v>7.83</v>
      </c>
      <c r="J84" s="26">
        <f t="shared" si="2"/>
        <v>1.4281388888888888</v>
      </c>
      <c r="L84" s="24">
        <v>1967.1712</v>
      </c>
      <c r="M84" s="25">
        <v>36.940399999999997</v>
      </c>
      <c r="N84" s="25">
        <v>39.725099999999998</v>
      </c>
      <c r="O84" s="25">
        <v>40.021700000000003</v>
      </c>
      <c r="P84" s="25">
        <v>5064.68</v>
      </c>
      <c r="Q84" s="25">
        <v>7.88</v>
      </c>
      <c r="R84" s="26">
        <f t="shared" si="3"/>
        <v>1.4068555555555555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930.4</v>
      </c>
      <c r="E85" s="25">
        <v>33.931600000000003</v>
      </c>
      <c r="F85" s="25">
        <v>37.3643</v>
      </c>
      <c r="G85" s="25">
        <v>37.605499999999999</v>
      </c>
      <c r="H85" s="25">
        <v>4147.83</v>
      </c>
      <c r="I85" s="25">
        <v>6.27</v>
      </c>
      <c r="J85" s="26">
        <f t="shared" si="2"/>
        <v>1.1521749999999999</v>
      </c>
      <c r="L85" s="24">
        <v>930.4</v>
      </c>
      <c r="M85" s="25">
        <v>33.931600000000003</v>
      </c>
      <c r="N85" s="25">
        <v>37.3643</v>
      </c>
      <c r="O85" s="25">
        <v>37.605499999999999</v>
      </c>
      <c r="P85" s="25">
        <v>4122.84</v>
      </c>
      <c r="Q85" s="25">
        <v>6.25</v>
      </c>
      <c r="R85" s="26">
        <f t="shared" si="3"/>
        <v>1.1452333333333333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477.37200000000001</v>
      </c>
      <c r="E86" s="34">
        <v>31.265899999999998</v>
      </c>
      <c r="F86" s="34">
        <v>35.701799999999999</v>
      </c>
      <c r="G86" s="34">
        <v>35.857399999999998</v>
      </c>
      <c r="H86" s="34">
        <v>3528.92</v>
      </c>
      <c r="I86" s="34">
        <v>5.08</v>
      </c>
      <c r="J86" s="35">
        <f t="shared" si="2"/>
        <v>0.98025555555555555</v>
      </c>
      <c r="L86" s="33">
        <v>477.37200000000001</v>
      </c>
      <c r="M86" s="34">
        <v>31.265899999999998</v>
      </c>
      <c r="N86" s="34">
        <v>35.701799999999999</v>
      </c>
      <c r="O86" s="34">
        <v>35.857399999999998</v>
      </c>
      <c r="P86" s="34">
        <v>3518.73</v>
      </c>
      <c r="Q86" s="34">
        <v>5.12</v>
      </c>
      <c r="R86" s="35">
        <f t="shared" si="3"/>
        <v>0.97742499999999999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5462.1513999999997</v>
      </c>
      <c r="E87" s="15">
        <v>42.905799999999999</v>
      </c>
      <c r="F87" s="15">
        <v>45.449599999999997</v>
      </c>
      <c r="G87" s="15">
        <v>45.780500000000004</v>
      </c>
      <c r="H87" s="15">
        <v>14059.55</v>
      </c>
      <c r="I87" s="15">
        <v>19.760000000000002</v>
      </c>
      <c r="J87" s="16">
        <f t="shared" si="2"/>
        <v>3.9054305555555553</v>
      </c>
      <c r="L87" s="14">
        <v>5462.1513999999997</v>
      </c>
      <c r="M87" s="15">
        <v>42.905799999999999</v>
      </c>
      <c r="N87" s="15">
        <v>45.449599999999997</v>
      </c>
      <c r="O87" s="15">
        <v>45.780500000000004</v>
      </c>
      <c r="P87" s="15">
        <v>14074.81</v>
      </c>
      <c r="Q87" s="15">
        <v>19.03</v>
      </c>
      <c r="R87" s="16">
        <f t="shared" si="3"/>
        <v>3.9096694444444444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2622.1997000000001</v>
      </c>
      <c r="E88" s="25">
        <v>38.914900000000003</v>
      </c>
      <c r="F88" s="25">
        <v>42.476399999999998</v>
      </c>
      <c r="G88" s="25">
        <v>42.650599999999997</v>
      </c>
      <c r="H88" s="25">
        <v>11378.49</v>
      </c>
      <c r="I88" s="25">
        <v>15.69</v>
      </c>
      <c r="J88" s="26">
        <f t="shared" si="2"/>
        <v>3.1606916666666667</v>
      </c>
      <c r="L88" s="24">
        <v>2622.1997000000001</v>
      </c>
      <c r="M88" s="25">
        <v>38.914900000000003</v>
      </c>
      <c r="N88" s="25">
        <v>42.476399999999998</v>
      </c>
      <c r="O88" s="25">
        <v>42.650599999999997</v>
      </c>
      <c r="P88" s="25">
        <v>11400.32</v>
      </c>
      <c r="Q88" s="25">
        <v>15.96</v>
      </c>
      <c r="R88" s="26">
        <f t="shared" si="3"/>
        <v>3.1667555555555555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1278.673</v>
      </c>
      <c r="E89" s="25">
        <v>35.267899999999997</v>
      </c>
      <c r="F89" s="25">
        <v>40.169199999999996</v>
      </c>
      <c r="G89" s="25">
        <v>40.125999999999998</v>
      </c>
      <c r="H89" s="25">
        <v>9074.83</v>
      </c>
      <c r="I89" s="25">
        <v>12.87</v>
      </c>
      <c r="J89" s="26">
        <f t="shared" si="2"/>
        <v>2.5207861111111112</v>
      </c>
      <c r="L89" s="24">
        <v>1278.673</v>
      </c>
      <c r="M89" s="25">
        <v>35.267899999999997</v>
      </c>
      <c r="N89" s="25">
        <v>40.169199999999996</v>
      </c>
      <c r="O89" s="25">
        <v>40.125999999999998</v>
      </c>
      <c r="P89" s="25">
        <v>9137.81</v>
      </c>
      <c r="Q89" s="25">
        <v>12.83</v>
      </c>
      <c r="R89" s="26">
        <f t="shared" si="3"/>
        <v>2.5382805555555552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626.99570000000006</v>
      </c>
      <c r="E90" s="34">
        <v>31.967199999999998</v>
      </c>
      <c r="F90" s="34">
        <v>38.592199999999998</v>
      </c>
      <c r="G90" s="34">
        <v>38.344200000000001</v>
      </c>
      <c r="H90" s="34">
        <v>7458.98</v>
      </c>
      <c r="I90" s="34">
        <v>10.56</v>
      </c>
      <c r="J90" s="35">
        <f t="shared" si="2"/>
        <v>2.0719388888888886</v>
      </c>
      <c r="L90" s="33">
        <v>626.99570000000006</v>
      </c>
      <c r="M90" s="34">
        <v>31.967199999999998</v>
      </c>
      <c r="N90" s="34">
        <v>38.592199999999998</v>
      </c>
      <c r="O90" s="34">
        <v>38.344200000000001</v>
      </c>
      <c r="P90" s="34">
        <v>7410.83</v>
      </c>
      <c r="Q90" s="34">
        <v>10.62</v>
      </c>
      <c r="R90" s="35">
        <f t="shared" si="3"/>
        <v>2.0585638888888891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323.02879999999999</v>
      </c>
      <c r="E91" s="15">
        <v>46.7273</v>
      </c>
      <c r="F91" s="15">
        <v>45.316600000000001</v>
      </c>
      <c r="G91" s="15">
        <v>45.258099999999999</v>
      </c>
      <c r="H91" s="15">
        <v>3150.74</v>
      </c>
      <c r="I91" s="15">
        <v>4.3899999999999997</v>
      </c>
      <c r="J91" s="16">
        <f t="shared" si="2"/>
        <v>0.87520555555555546</v>
      </c>
      <c r="L91" s="14">
        <v>323.02879999999999</v>
      </c>
      <c r="M91" s="15">
        <v>46.7273</v>
      </c>
      <c r="N91" s="15">
        <v>45.316600000000001</v>
      </c>
      <c r="O91" s="15">
        <v>45.258099999999999</v>
      </c>
      <c r="P91" s="15">
        <v>3135.83</v>
      </c>
      <c r="Q91" s="15">
        <v>4.41</v>
      </c>
      <c r="R91" s="16">
        <f t="shared" si="3"/>
        <v>0.87106388888888886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238.20959999999999</v>
      </c>
      <c r="E92" s="25">
        <v>42.591099999999997</v>
      </c>
      <c r="F92" s="25">
        <v>41.1586</v>
      </c>
      <c r="G92" s="25">
        <v>41.17</v>
      </c>
      <c r="H92" s="25">
        <v>3088.54</v>
      </c>
      <c r="I92" s="25">
        <v>4.3600000000000003</v>
      </c>
      <c r="J92" s="26">
        <f t="shared" si="2"/>
        <v>0.85792777777777773</v>
      </c>
      <c r="L92" s="24">
        <v>238.20959999999999</v>
      </c>
      <c r="M92" s="25">
        <v>42.591099999999997</v>
      </c>
      <c r="N92" s="25">
        <v>41.1586</v>
      </c>
      <c r="O92" s="25">
        <v>41.17</v>
      </c>
      <c r="P92" s="25">
        <v>3065.23</v>
      </c>
      <c r="Q92" s="25">
        <v>4.3499999999999996</v>
      </c>
      <c r="R92" s="26">
        <f t="shared" si="3"/>
        <v>0.85145277777777784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178.7544</v>
      </c>
      <c r="E93" s="25">
        <v>38.009799999999998</v>
      </c>
      <c r="F93" s="25">
        <v>38.870600000000003</v>
      </c>
      <c r="G93" s="25">
        <v>38.872999999999998</v>
      </c>
      <c r="H93" s="25">
        <v>3010.04</v>
      </c>
      <c r="I93" s="25">
        <v>4.3499999999999996</v>
      </c>
      <c r="J93" s="26">
        <f t="shared" si="2"/>
        <v>0.83612222222222221</v>
      </c>
      <c r="L93" s="24">
        <v>178.7544</v>
      </c>
      <c r="M93" s="25">
        <v>38.009799999999998</v>
      </c>
      <c r="N93" s="25">
        <v>38.870600000000003</v>
      </c>
      <c r="O93" s="25">
        <v>38.872999999999998</v>
      </c>
      <c r="P93" s="25">
        <v>3026.15</v>
      </c>
      <c r="Q93" s="25">
        <v>4.29</v>
      </c>
      <c r="R93" s="26">
        <f t="shared" si="3"/>
        <v>0.84059722222222222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129.85120000000001</v>
      </c>
      <c r="E94" s="34">
        <v>33.144100000000002</v>
      </c>
      <c r="F94" s="34">
        <v>37.745600000000003</v>
      </c>
      <c r="G94" s="34">
        <v>37.2224</v>
      </c>
      <c r="H94" s="34">
        <v>2978.89</v>
      </c>
      <c r="I94" s="34">
        <v>4.24</v>
      </c>
      <c r="J94" s="35">
        <f t="shared" si="2"/>
        <v>0.82746944444444437</v>
      </c>
      <c r="L94" s="33">
        <v>129.85120000000001</v>
      </c>
      <c r="M94" s="34">
        <v>33.144100000000002</v>
      </c>
      <c r="N94" s="34">
        <v>37.745600000000003</v>
      </c>
      <c r="O94" s="34">
        <v>37.2224</v>
      </c>
      <c r="P94" s="34">
        <v>2941.9</v>
      </c>
      <c r="Q94" s="34">
        <v>4.24</v>
      </c>
      <c r="R94" s="35">
        <f t="shared" si="3"/>
        <v>0.81719444444444445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704.2912</v>
      </c>
      <c r="E95" s="15">
        <v>48.897500000000001</v>
      </c>
      <c r="F95" s="15">
        <v>51.781300000000002</v>
      </c>
      <c r="G95" s="15">
        <v>52.813000000000002</v>
      </c>
      <c r="H95" s="15">
        <v>7117.87</v>
      </c>
      <c r="I95" s="15">
        <v>9.6999999999999993</v>
      </c>
      <c r="J95" s="16">
        <f t="shared" si="2"/>
        <v>1.9771861111111111</v>
      </c>
      <c r="L95" s="14">
        <v>704.2912</v>
      </c>
      <c r="M95" s="15">
        <v>48.897500000000001</v>
      </c>
      <c r="N95" s="15">
        <v>51.781300000000002</v>
      </c>
      <c r="O95" s="15">
        <v>52.813000000000002</v>
      </c>
      <c r="P95" s="15">
        <v>7111.01</v>
      </c>
      <c r="Q95" s="15">
        <v>9.66</v>
      </c>
      <c r="R95" s="16">
        <f t="shared" si="3"/>
        <v>1.9752805555555557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415.02780000000001</v>
      </c>
      <c r="E96" s="25">
        <v>45.017099999999999</v>
      </c>
      <c r="F96" s="25">
        <v>48.273099999999999</v>
      </c>
      <c r="G96" s="25">
        <v>49.5503</v>
      </c>
      <c r="H96" s="25">
        <v>6783.42</v>
      </c>
      <c r="I96" s="25">
        <v>9.15</v>
      </c>
      <c r="J96" s="26">
        <f t="shared" si="2"/>
        <v>1.8842833333333333</v>
      </c>
      <c r="L96" s="24">
        <v>415.02780000000001</v>
      </c>
      <c r="M96" s="25">
        <v>45.017099999999999</v>
      </c>
      <c r="N96" s="25">
        <v>48.273099999999999</v>
      </c>
      <c r="O96" s="25">
        <v>49.5503</v>
      </c>
      <c r="P96" s="25">
        <v>6701.82</v>
      </c>
      <c r="Q96" s="25">
        <v>9.14</v>
      </c>
      <c r="R96" s="26">
        <f t="shared" si="3"/>
        <v>1.8616166666666665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244.8426</v>
      </c>
      <c r="E97" s="25">
        <v>41.169800000000002</v>
      </c>
      <c r="F97" s="25">
        <v>45.526299999999999</v>
      </c>
      <c r="G97" s="25">
        <v>46.7545</v>
      </c>
      <c r="H97" s="25">
        <v>6348.14</v>
      </c>
      <c r="I97" s="25">
        <v>8.83</v>
      </c>
      <c r="J97" s="26">
        <f t="shared" si="2"/>
        <v>1.7633722222222223</v>
      </c>
      <c r="L97" s="24">
        <v>244.8426</v>
      </c>
      <c r="M97" s="25">
        <v>41.169800000000002</v>
      </c>
      <c r="N97" s="25">
        <v>45.526299999999999</v>
      </c>
      <c r="O97" s="25">
        <v>46.7545</v>
      </c>
      <c r="P97" s="25">
        <v>6309.9</v>
      </c>
      <c r="Q97" s="25">
        <v>8.67</v>
      </c>
      <c r="R97" s="26">
        <f t="shared" si="3"/>
        <v>1.7527499999999998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151.6944</v>
      </c>
      <c r="E98" s="34">
        <v>37.3142</v>
      </c>
      <c r="F98" s="34">
        <v>43.469900000000003</v>
      </c>
      <c r="G98" s="34">
        <v>45.109299999999998</v>
      </c>
      <c r="H98" s="34">
        <v>6014.73</v>
      </c>
      <c r="I98" s="34">
        <v>8.26</v>
      </c>
      <c r="J98" s="35">
        <f t="shared" si="2"/>
        <v>1.6707583333333331</v>
      </c>
      <c r="L98" s="33">
        <v>151.6944</v>
      </c>
      <c r="M98" s="34">
        <v>37.3142</v>
      </c>
      <c r="N98" s="34">
        <v>43.469900000000003</v>
      </c>
      <c r="O98" s="34">
        <v>45.109299999999998</v>
      </c>
      <c r="P98" s="34">
        <v>6005.02</v>
      </c>
      <c r="Q98" s="34">
        <v>8.39</v>
      </c>
      <c r="R98" s="35">
        <f t="shared" si="3"/>
        <v>1.6680611111111112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8.4419975282556461</v>
      </c>
      <c r="J107" s="92">
        <f>GEOMEAN(J3:J98)</f>
        <v>1.4884537492089083</v>
      </c>
      <c r="Q107" s="95">
        <f>GEOMEAN(Q3:Q98)</f>
        <v>8.420164280032985</v>
      </c>
      <c r="R107" s="92">
        <f>GEOMEAN(R3:R98)</f>
        <v>1.4846472319677217</v>
      </c>
    </row>
    <row r="108" spans="1:25" ht="12.75" thickBot="1" x14ac:dyDescent="0.25">
      <c r="B108" s="23" t="s">
        <v>30</v>
      </c>
      <c r="I108" s="96">
        <f>SUM(I3:I98)/3600</f>
        <v>0.28672777777777791</v>
      </c>
      <c r="J108" s="94">
        <f>SUM(J3:J98)</f>
        <v>183.86573333333334</v>
      </c>
      <c r="Q108" s="96">
        <f>SUM(Q3:Q98)/3600</f>
        <v>0.28529722222222215</v>
      </c>
      <c r="R108" s="94">
        <f>SUM(R3:R98)</f>
        <v>183.5326</v>
      </c>
    </row>
    <row r="109" spans="1:25" ht="12.75" thickBot="1" x14ac:dyDescent="0.25">
      <c r="B109" s="32" t="s">
        <v>98</v>
      </c>
      <c r="T109" s="97">
        <f>Q107/I107</f>
        <v>0.99741373435024305</v>
      </c>
      <c r="U109" s="98">
        <f>R107/J107</f>
        <v>0.9974426365325697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8.5792681300214646</v>
      </c>
      <c r="J113" s="92">
        <f t="shared" ref="J113:R113" si="11">GEOMEAN(J3:J10, J19:J82)</f>
        <v>1.4750757099780329</v>
      </c>
      <c r="Q113" s="95">
        <f t="shared" si="11"/>
        <v>8.549521385174863</v>
      </c>
      <c r="R113" s="92">
        <f t="shared" si="11"/>
        <v>1.471737824347054</v>
      </c>
    </row>
    <row r="114" spans="2:21" ht="12.75" thickBot="1" x14ac:dyDescent="0.25">
      <c r="B114" s="23" t="s">
        <v>30</v>
      </c>
      <c r="I114" s="96">
        <f>SUM(I3:I10, I19:I82)/3600</f>
        <v>0.24750277777777788</v>
      </c>
      <c r="J114" s="94">
        <f>SUM(J3:J10, J19:J82)</f>
        <v>156.20943333333329</v>
      </c>
      <c r="Q114" s="96">
        <f t="shared" ref="Q114" si="12">SUM(Q3:Q10, Q19:Q82)/3600</f>
        <v>0.24609444444444439</v>
      </c>
      <c r="R114" s="94">
        <f>SUM(R3:R10, R19:R82)</f>
        <v>155.94576666666666</v>
      </c>
    </row>
    <row r="115" spans="2:21" ht="12.75" thickBot="1" x14ac:dyDescent="0.25">
      <c r="B115" s="32" t="s">
        <v>98</v>
      </c>
      <c r="T115" s="97">
        <f>Q113/I113</f>
        <v>0.99653271766358387</v>
      </c>
      <c r="U115" s="98">
        <f>R113/J113</f>
        <v>0.99773714284060133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 T106:Y106">
    <cfRule type="cellIs" dxfId="39" priority="9" operator="greaterThan">
      <formula>0.03</formula>
    </cfRule>
    <cfRule type="cellIs" dxfId="38" priority="10" stopIfTrue="1" operator="lessThan">
      <formula>-0.03</formula>
    </cfRule>
  </conditionalFormatting>
  <conditionalFormatting sqref="T112:Y112">
    <cfRule type="cellIs" dxfId="37" priority="7" operator="greaterThan">
      <formula>0.03</formula>
    </cfRule>
    <cfRule type="cellIs" dxfId="36" priority="8" stopIfTrue="1" operator="lessThan">
      <formula>-0.03</formula>
    </cfRule>
  </conditionalFormatting>
  <conditionalFormatting sqref="T112:Y112">
    <cfRule type="cellIs" dxfId="35" priority="5" operator="greaterThan">
      <formula>0.03</formula>
    </cfRule>
    <cfRule type="cellIs" dxfId="34" priority="6" stopIfTrue="1" operator="lessThan">
      <formula>-0.03</formula>
    </cfRule>
  </conditionalFormatting>
  <conditionalFormatting sqref="T112:Y112">
    <cfRule type="cellIs" dxfId="33" priority="1" operator="greaterThan">
      <formula>0.03</formula>
    </cfRule>
    <cfRule type="cellIs" dxfId="32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13" t="s">
        <v>2</v>
      </c>
      <c r="B3" s="13" t="s">
        <v>3</v>
      </c>
      <c r="C3" s="13">
        <v>22</v>
      </c>
      <c r="D3" s="17">
        <v>101032.408</v>
      </c>
      <c r="E3" s="18">
        <v>43.450099999999999</v>
      </c>
      <c r="F3" s="18">
        <v>42.950800000000001</v>
      </c>
      <c r="G3" s="18">
        <v>44.825099999999999</v>
      </c>
      <c r="H3" s="18">
        <v>5214.18</v>
      </c>
      <c r="I3" s="18">
        <v>57.25</v>
      </c>
      <c r="J3" s="16">
        <f>secToHours(H3)</f>
        <v>1.4483833333333334</v>
      </c>
      <c r="L3" s="17">
        <v>101032.408</v>
      </c>
      <c r="M3" s="18">
        <v>43.450099999999999</v>
      </c>
      <c r="N3" s="18">
        <v>42.950800000000001</v>
      </c>
      <c r="O3" s="18">
        <v>44.825099999999999</v>
      </c>
      <c r="P3" s="18">
        <v>5219.09</v>
      </c>
      <c r="Q3" s="18">
        <v>56.7</v>
      </c>
      <c r="R3" s="16">
        <f>secToHours(P3)</f>
        <v>1.4497472222222223</v>
      </c>
      <c r="S3" s="19"/>
      <c r="T3" s="20">
        <f>[1]!bdrate($D3:$D6,E3:E6,$L3:$L6,M3:M6)</f>
        <v>0</v>
      </c>
      <c r="U3" s="21">
        <f>[1]!bdrate($D3:$D6,F3:F6,$L3:$L6,N3:N6)</f>
        <v>0</v>
      </c>
      <c r="V3" s="22">
        <f>[1]!bdrate($D3:$D6,G3:G6,$L3:$L6,O3:O6)</f>
        <v>0</v>
      </c>
      <c r="W3" s="20">
        <f>[1]!bdrateOld($D3:$D6,E3:E6,$L3:$L6,M3:M6)</f>
        <v>0</v>
      </c>
      <c r="X3" s="21">
        <f>[1]!bdrateOld($D3:$D6,F3:F6,$L3:$L6,N3:N6)</f>
        <v>0</v>
      </c>
      <c r="Y3" s="22">
        <f>[1]!bdrateOld($D3:$D6,G3:G6,$L3:$L6,O3:O6)</f>
        <v>0</v>
      </c>
    </row>
    <row r="4" spans="1:25" x14ac:dyDescent="0.2">
      <c r="A4" s="23" t="s">
        <v>4</v>
      </c>
      <c r="B4" s="23"/>
      <c r="C4" s="23">
        <v>27</v>
      </c>
      <c r="D4" s="27">
        <v>57005.8128</v>
      </c>
      <c r="E4" s="28">
        <v>40.209499999999998</v>
      </c>
      <c r="F4" s="28">
        <v>40.234200000000001</v>
      </c>
      <c r="G4" s="28">
        <v>42.259</v>
      </c>
      <c r="H4" s="28">
        <v>4452.34</v>
      </c>
      <c r="I4" s="28">
        <v>47.71</v>
      </c>
      <c r="J4" s="26">
        <f t="shared" ref="J4:J67" si="0">secToHours(H4)</f>
        <v>1.2367611111111112</v>
      </c>
      <c r="L4" s="27">
        <v>57005.8128</v>
      </c>
      <c r="M4" s="28">
        <v>40.209499999999998</v>
      </c>
      <c r="N4" s="28">
        <v>40.234200000000001</v>
      </c>
      <c r="O4" s="28">
        <v>42.259</v>
      </c>
      <c r="P4" s="28">
        <v>4565.76</v>
      </c>
      <c r="Q4" s="28">
        <v>47.56</v>
      </c>
      <c r="R4" s="26">
        <f t="shared" ref="R4:R67" si="1">secToHours(P4)</f>
        <v>1.2682666666666667</v>
      </c>
      <c r="S4" s="19"/>
      <c r="T4" s="29"/>
      <c r="U4" s="30"/>
      <c r="V4" s="31"/>
      <c r="W4" s="29"/>
      <c r="X4" s="30"/>
      <c r="Y4" s="31"/>
    </row>
    <row r="5" spans="1:25" x14ac:dyDescent="0.2">
      <c r="A5" s="23"/>
      <c r="B5" s="23"/>
      <c r="C5" s="23">
        <v>32</v>
      </c>
      <c r="D5" s="27">
        <v>32573.649600000001</v>
      </c>
      <c r="E5" s="28">
        <v>37.117100000000001</v>
      </c>
      <c r="F5" s="28">
        <v>38.356000000000002</v>
      </c>
      <c r="G5" s="28">
        <v>40.4788</v>
      </c>
      <c r="H5" s="28">
        <v>3967.56</v>
      </c>
      <c r="I5" s="28">
        <v>41.32</v>
      </c>
      <c r="J5" s="26">
        <f t="shared" si="0"/>
        <v>1.1021000000000001</v>
      </c>
      <c r="L5" s="27">
        <v>32573.649600000001</v>
      </c>
      <c r="M5" s="28">
        <v>37.117100000000001</v>
      </c>
      <c r="N5" s="28">
        <v>38.356000000000002</v>
      </c>
      <c r="O5" s="28">
        <v>40.4788</v>
      </c>
      <c r="P5" s="28">
        <v>3976.52</v>
      </c>
      <c r="Q5" s="28">
        <v>40.93</v>
      </c>
      <c r="R5" s="26">
        <f t="shared" si="1"/>
        <v>1.1045888888888888</v>
      </c>
      <c r="S5" s="19"/>
      <c r="T5" s="29"/>
      <c r="U5" s="30"/>
      <c r="V5" s="31"/>
      <c r="W5" s="29"/>
      <c r="X5" s="30"/>
      <c r="Y5" s="31"/>
    </row>
    <row r="6" spans="1:25" ht="12.75" thickBot="1" x14ac:dyDescent="0.25">
      <c r="A6" s="23"/>
      <c r="B6" s="32"/>
      <c r="C6" s="32">
        <v>37</v>
      </c>
      <c r="D6" s="36">
        <v>18439.0432</v>
      </c>
      <c r="E6" s="37">
        <v>34.075699999999998</v>
      </c>
      <c r="F6" s="37">
        <v>37.0685</v>
      </c>
      <c r="G6" s="37">
        <v>39.302700000000002</v>
      </c>
      <c r="H6" s="37">
        <v>3606.68</v>
      </c>
      <c r="I6" s="37">
        <v>35.42</v>
      </c>
      <c r="J6" s="35">
        <f t="shared" si="0"/>
        <v>1.0018555555555555</v>
      </c>
      <c r="L6" s="36">
        <v>18439.0432</v>
      </c>
      <c r="M6" s="37">
        <v>34.075699999999998</v>
      </c>
      <c r="N6" s="37">
        <v>37.0685</v>
      </c>
      <c r="O6" s="37">
        <v>39.302700000000002</v>
      </c>
      <c r="P6" s="37">
        <v>3619.47</v>
      </c>
      <c r="Q6" s="37">
        <v>35.68</v>
      </c>
      <c r="R6" s="35">
        <f t="shared" si="1"/>
        <v>1.0054083333333332</v>
      </c>
      <c r="S6" s="19"/>
      <c r="T6" s="38"/>
      <c r="U6" s="39"/>
      <c r="V6" s="40"/>
      <c r="W6" s="38"/>
      <c r="X6" s="39"/>
      <c r="Y6" s="40"/>
    </row>
    <row r="7" spans="1:25" x14ac:dyDescent="0.2">
      <c r="A7" s="23"/>
      <c r="B7" s="13" t="s">
        <v>5</v>
      </c>
      <c r="C7" s="13">
        <v>22</v>
      </c>
      <c r="D7" s="17">
        <v>103972.99679999999</v>
      </c>
      <c r="E7" s="18">
        <v>43.342199999999998</v>
      </c>
      <c r="F7" s="18">
        <v>45.637500000000003</v>
      </c>
      <c r="G7" s="18">
        <v>45.372399999999999</v>
      </c>
      <c r="H7" s="18">
        <v>5281.24</v>
      </c>
      <c r="I7" s="18">
        <v>56.19</v>
      </c>
      <c r="J7" s="16">
        <f t="shared" si="0"/>
        <v>1.467011111111111</v>
      </c>
      <c r="L7" s="17">
        <v>103972.99679999999</v>
      </c>
      <c r="M7" s="18">
        <v>43.342199999999998</v>
      </c>
      <c r="N7" s="18">
        <v>45.637500000000003</v>
      </c>
      <c r="O7" s="18">
        <v>45.372399999999999</v>
      </c>
      <c r="P7" s="18">
        <v>5363.58</v>
      </c>
      <c r="Q7" s="18">
        <v>55.88</v>
      </c>
      <c r="R7" s="16">
        <f t="shared" si="1"/>
        <v>1.4898833333333332</v>
      </c>
      <c r="S7" s="19"/>
      <c r="T7" s="20">
        <f>[1]!bdrate($D7:$D10,E7:E10,$L7:$L10,M7:M10)</f>
        <v>0</v>
      </c>
      <c r="U7" s="21">
        <f>[1]!bdrate($D7:$D10,F7:F10,$L7:$L10,N7:N10)</f>
        <v>0</v>
      </c>
      <c r="V7" s="21">
        <f>[1]!bdrate($D7:$D10,G7:G10,$L7:$L10,O7:O10)</f>
        <v>0</v>
      </c>
      <c r="W7" s="41">
        <f>[1]!bdrateOld($D7:$D10,E7:E10,$L7:$L10,M7:M10)</f>
        <v>0</v>
      </c>
      <c r="X7" s="42">
        <f>[1]!bdrateOld($D7:$D10,F7:F10,$L7:$L10,N7:N10)</f>
        <v>0</v>
      </c>
      <c r="Y7" s="43">
        <f>[1]!bdrateOld($D7:$D10,G7:G10,$L7:$L10,O7:O10)</f>
        <v>0</v>
      </c>
    </row>
    <row r="8" spans="1:25" x14ac:dyDescent="0.2">
      <c r="A8" s="23"/>
      <c r="B8" s="23"/>
      <c r="C8" s="23">
        <v>27</v>
      </c>
      <c r="D8" s="27">
        <v>60509.2048</v>
      </c>
      <c r="E8" s="28">
        <v>39.852600000000002</v>
      </c>
      <c r="F8" s="28">
        <v>43.125500000000002</v>
      </c>
      <c r="G8" s="28">
        <v>43.463500000000003</v>
      </c>
      <c r="H8" s="28">
        <v>4613.8900000000003</v>
      </c>
      <c r="I8" s="28">
        <v>48.74</v>
      </c>
      <c r="J8" s="26">
        <f t="shared" si="0"/>
        <v>1.2816361111111112</v>
      </c>
      <c r="L8" s="27">
        <v>60509.2048</v>
      </c>
      <c r="M8" s="28">
        <v>39.852600000000002</v>
      </c>
      <c r="N8" s="28">
        <v>43.125500000000002</v>
      </c>
      <c r="O8" s="28">
        <v>43.463500000000003</v>
      </c>
      <c r="P8" s="28">
        <v>4563.5600000000004</v>
      </c>
      <c r="Q8" s="28">
        <v>48.61</v>
      </c>
      <c r="R8" s="26">
        <f t="shared" si="1"/>
        <v>1.2676555555555558</v>
      </c>
      <c r="S8" s="19"/>
      <c r="T8" s="29"/>
      <c r="U8" s="30"/>
      <c r="V8" s="30"/>
      <c r="W8" s="29"/>
      <c r="X8" s="30"/>
      <c r="Y8" s="31"/>
    </row>
    <row r="9" spans="1:25" x14ac:dyDescent="0.2">
      <c r="A9" s="23"/>
      <c r="B9" s="23"/>
      <c r="C9" s="23">
        <v>32</v>
      </c>
      <c r="D9" s="27">
        <v>34579.519999999997</v>
      </c>
      <c r="E9" s="28">
        <v>36.680300000000003</v>
      </c>
      <c r="F9" s="28">
        <v>41.117800000000003</v>
      </c>
      <c r="G9" s="28">
        <v>41.7879</v>
      </c>
      <c r="H9" s="28">
        <v>4033.89</v>
      </c>
      <c r="I9" s="28">
        <v>43.05</v>
      </c>
      <c r="J9" s="26">
        <f t="shared" si="0"/>
        <v>1.120525</v>
      </c>
      <c r="L9" s="27">
        <v>34579.519999999997</v>
      </c>
      <c r="M9" s="28">
        <v>36.680300000000003</v>
      </c>
      <c r="N9" s="28">
        <v>41.117800000000003</v>
      </c>
      <c r="O9" s="28">
        <v>41.7879</v>
      </c>
      <c r="P9" s="28">
        <v>4058.36</v>
      </c>
      <c r="Q9" s="28">
        <v>43.13</v>
      </c>
      <c r="R9" s="26">
        <f t="shared" si="1"/>
        <v>1.1273222222222223</v>
      </c>
      <c r="S9" s="19"/>
      <c r="T9" s="29"/>
      <c r="U9" s="44"/>
      <c r="V9" s="30"/>
      <c r="W9" s="29"/>
      <c r="X9" s="30"/>
      <c r="Y9" s="31"/>
    </row>
    <row r="10" spans="1:25" ht="12.75" thickBot="1" x14ac:dyDescent="0.25">
      <c r="A10" s="23"/>
      <c r="B10" s="32"/>
      <c r="C10" s="32">
        <v>37</v>
      </c>
      <c r="D10" s="36">
        <v>20281.936000000002</v>
      </c>
      <c r="E10" s="37">
        <v>33.792499999999997</v>
      </c>
      <c r="F10" s="37">
        <v>39.653799999999997</v>
      </c>
      <c r="G10" s="37">
        <v>40.505400000000002</v>
      </c>
      <c r="H10" s="37">
        <v>3824.6</v>
      </c>
      <c r="I10" s="37">
        <v>37.75</v>
      </c>
      <c r="J10" s="35">
        <f t="shared" si="0"/>
        <v>1.0623888888888888</v>
      </c>
      <c r="L10" s="36">
        <v>20281.936000000002</v>
      </c>
      <c r="M10" s="37">
        <v>33.792499999999997</v>
      </c>
      <c r="N10" s="37">
        <v>39.653799999999997</v>
      </c>
      <c r="O10" s="37">
        <v>40.505400000000002</v>
      </c>
      <c r="P10" s="37">
        <v>3665.41</v>
      </c>
      <c r="Q10" s="37">
        <v>37.81</v>
      </c>
      <c r="R10" s="35">
        <f t="shared" si="1"/>
        <v>1.0181694444444445</v>
      </c>
      <c r="S10" s="19"/>
      <c r="T10" s="38"/>
      <c r="U10" s="39"/>
      <c r="V10" s="39"/>
      <c r="W10" s="38"/>
      <c r="X10" s="39"/>
      <c r="Y10" s="40"/>
    </row>
    <row r="11" spans="1:25" x14ac:dyDescent="0.2">
      <c r="A11" s="64"/>
      <c r="B11" s="13" t="s">
        <v>0</v>
      </c>
      <c r="C11" s="13">
        <v>22</v>
      </c>
      <c r="D11" s="17">
        <v>401413.19520000002</v>
      </c>
      <c r="E11" s="18">
        <v>42.388300000000001</v>
      </c>
      <c r="F11" s="18">
        <v>40.9831</v>
      </c>
      <c r="G11" s="18">
        <v>40.418500000000002</v>
      </c>
      <c r="H11" s="18">
        <v>12937.62</v>
      </c>
      <c r="I11" s="18">
        <v>115.33</v>
      </c>
      <c r="J11" s="16">
        <f t="shared" si="0"/>
        <v>3.5937833333333336</v>
      </c>
      <c r="L11" s="17">
        <v>401413.19520000002</v>
      </c>
      <c r="M11" s="18">
        <v>42.388300000000001</v>
      </c>
      <c r="N11" s="18">
        <v>40.9831</v>
      </c>
      <c r="O11" s="18">
        <v>40.418500000000002</v>
      </c>
      <c r="P11" s="18">
        <v>12875.71</v>
      </c>
      <c r="Q11" s="18">
        <v>114.67</v>
      </c>
      <c r="R11" s="16">
        <f t="shared" si="1"/>
        <v>3.5765861111111108</v>
      </c>
      <c r="S11" s="19"/>
      <c r="T11" s="20">
        <f>[1]!bdrate($D11:$D14,E11:E14,$L11:$L14,M11:M14)</f>
        <v>0</v>
      </c>
      <c r="U11" s="21">
        <f>[1]!bdrate($D11:$D14,F11:F14,$L11:$L14,N11:N14)</f>
        <v>0</v>
      </c>
      <c r="V11" s="21">
        <f>[1]!bdrate($D11:$D14,G11:G14,$L11:$L14,O11:O14)</f>
        <v>0</v>
      </c>
      <c r="W11" s="41">
        <f>[1]!bdrateOld($D11:$D14,E11:E14,$L11:$L14,M11:M14)</f>
        <v>0</v>
      </c>
      <c r="X11" s="42">
        <f>[1]!bdrateOld($D11:$D14,F11:F14,$L11:$L14,N11:N14)</f>
        <v>0</v>
      </c>
      <c r="Y11" s="43">
        <f>[1]!bdrateOld($D11:$D14,G11:G14,$L11:$L14,O11:O14)</f>
        <v>0</v>
      </c>
    </row>
    <row r="12" spans="1:25" x14ac:dyDescent="0.2">
      <c r="A12" s="64"/>
      <c r="B12" s="23"/>
      <c r="C12" s="23">
        <v>27</v>
      </c>
      <c r="D12" s="27">
        <v>247507.28479999999</v>
      </c>
      <c r="E12" s="28">
        <v>38.721600000000002</v>
      </c>
      <c r="F12" s="28">
        <v>38.479599999999998</v>
      </c>
      <c r="G12" s="28">
        <v>37.119300000000003</v>
      </c>
      <c r="H12" s="28">
        <v>11346.66</v>
      </c>
      <c r="I12" s="28">
        <v>95.86</v>
      </c>
      <c r="J12" s="26">
        <f t="shared" si="0"/>
        <v>3.15185</v>
      </c>
      <c r="L12" s="27">
        <v>247507.28479999999</v>
      </c>
      <c r="M12" s="28">
        <v>38.721600000000002</v>
      </c>
      <c r="N12" s="28">
        <v>38.479599999999998</v>
      </c>
      <c r="O12" s="28">
        <v>37.119300000000003</v>
      </c>
      <c r="P12" s="28">
        <v>11348.62</v>
      </c>
      <c r="Q12" s="28">
        <v>95.49</v>
      </c>
      <c r="R12" s="26">
        <f t="shared" si="1"/>
        <v>3.1523944444444445</v>
      </c>
      <c r="S12" s="19"/>
      <c r="T12" s="29"/>
      <c r="U12" s="30"/>
      <c r="V12" s="30"/>
      <c r="W12" s="29"/>
      <c r="X12" s="30"/>
      <c r="Y12" s="31"/>
    </row>
    <row r="13" spans="1:25" x14ac:dyDescent="0.2">
      <c r="A13" s="64"/>
      <c r="B13" s="23"/>
      <c r="C13" s="23">
        <v>32</v>
      </c>
      <c r="D13" s="27">
        <v>153649.79680000001</v>
      </c>
      <c r="E13" s="28">
        <v>34.757199999999997</v>
      </c>
      <c r="F13" s="28">
        <v>36.869300000000003</v>
      </c>
      <c r="G13" s="28">
        <v>35.648099999999999</v>
      </c>
      <c r="H13" s="28">
        <v>9749.6200000000008</v>
      </c>
      <c r="I13" s="28">
        <v>85.52</v>
      </c>
      <c r="J13" s="26">
        <f t="shared" si="0"/>
        <v>2.7082277777777781</v>
      </c>
      <c r="L13" s="27">
        <v>153649.79680000001</v>
      </c>
      <c r="M13" s="28">
        <v>34.757199999999997</v>
      </c>
      <c r="N13" s="28">
        <v>36.869300000000003</v>
      </c>
      <c r="O13" s="28">
        <v>35.648099999999999</v>
      </c>
      <c r="P13" s="28">
        <v>9766.51</v>
      </c>
      <c r="Q13" s="28">
        <v>84.82</v>
      </c>
      <c r="R13" s="26">
        <f t="shared" si="1"/>
        <v>2.7129194444444447</v>
      </c>
      <c r="S13" s="19"/>
      <c r="T13" s="29"/>
      <c r="U13" s="44"/>
      <c r="V13" s="30"/>
      <c r="W13" s="29"/>
      <c r="X13" s="30"/>
      <c r="Y13" s="31"/>
    </row>
    <row r="14" spans="1:25" ht="12.75" thickBot="1" x14ac:dyDescent="0.25">
      <c r="A14" s="64"/>
      <c r="B14" s="32"/>
      <c r="C14" s="32">
        <v>37</v>
      </c>
      <c r="D14" s="36">
        <v>81339.958400000003</v>
      </c>
      <c r="E14" s="37">
        <v>30.616099999999999</v>
      </c>
      <c r="F14" s="37">
        <v>35.682699999999997</v>
      </c>
      <c r="G14" s="37">
        <v>34.513599999999997</v>
      </c>
      <c r="H14" s="37">
        <v>8404.11</v>
      </c>
      <c r="I14" s="37">
        <v>76.88</v>
      </c>
      <c r="J14" s="35">
        <f t="shared" si="0"/>
        <v>2.3344750000000003</v>
      </c>
      <c r="L14" s="36">
        <v>81339.958400000003</v>
      </c>
      <c r="M14" s="37">
        <v>30.616099999999999</v>
      </c>
      <c r="N14" s="37">
        <v>35.682699999999997</v>
      </c>
      <c r="O14" s="37">
        <v>34.513599999999997</v>
      </c>
      <c r="P14" s="37">
        <v>8347.5499999999993</v>
      </c>
      <c r="Q14" s="37">
        <v>76.64</v>
      </c>
      <c r="R14" s="35">
        <f t="shared" si="1"/>
        <v>2.3187638888888888</v>
      </c>
      <c r="S14" s="19"/>
      <c r="T14" s="38"/>
      <c r="U14" s="39"/>
      <c r="V14" s="39"/>
      <c r="W14" s="38"/>
      <c r="X14" s="39"/>
      <c r="Y14" s="40"/>
    </row>
    <row r="15" spans="1:25" x14ac:dyDescent="0.2">
      <c r="A15" s="64"/>
      <c r="B15" s="13" t="s">
        <v>6</v>
      </c>
      <c r="C15" s="13">
        <v>22</v>
      </c>
      <c r="D15" s="17">
        <v>98641.044800000003</v>
      </c>
      <c r="E15" s="18">
        <v>43.863100000000003</v>
      </c>
      <c r="F15" s="18">
        <v>46.848599999999998</v>
      </c>
      <c r="G15" s="18">
        <v>46.517499999999998</v>
      </c>
      <c r="H15" s="18">
        <v>8650.61</v>
      </c>
      <c r="I15" s="18">
        <v>73.510000000000005</v>
      </c>
      <c r="J15" s="16">
        <f t="shared" si="0"/>
        <v>2.4029472222222226</v>
      </c>
      <c r="L15" s="17">
        <v>98641.044800000003</v>
      </c>
      <c r="M15" s="18">
        <v>43.863100000000003</v>
      </c>
      <c r="N15" s="18">
        <v>46.848599999999998</v>
      </c>
      <c r="O15" s="18">
        <v>46.517499999999998</v>
      </c>
      <c r="P15" s="18">
        <v>8616.5499999999993</v>
      </c>
      <c r="Q15" s="18">
        <v>73.709999999999994</v>
      </c>
      <c r="R15" s="16">
        <f t="shared" si="1"/>
        <v>2.3934861111111108</v>
      </c>
      <c r="S15" s="19"/>
      <c r="T15" s="20">
        <f>[1]!bdrate($D15:$D18,E15:E18,$L15:$L18,M15:M18)</f>
        <v>0</v>
      </c>
      <c r="U15" s="21">
        <f>[1]!bdrate($D15:$D18,F15:F18,$L15:$L18,N15:N18)</f>
        <v>0</v>
      </c>
      <c r="V15" s="21">
        <f>[1]!bdrate($D15:$D18,G15:G18,$L15:$L18,O15:O18)</f>
        <v>0</v>
      </c>
      <c r="W15" s="41">
        <f>[1]!bdrateOld($D15:$D18,E15:E18,$L15:$L18,M15:M18)</f>
        <v>0</v>
      </c>
      <c r="X15" s="42">
        <f>[1]!bdrateOld($D15:$D18,F15:F18,$L15:$L18,N15:N18)</f>
        <v>0</v>
      </c>
      <c r="Y15" s="43">
        <f>[1]!bdrateOld($D15:$D18,G15:G18,$L15:$L18,O15:O18)</f>
        <v>0</v>
      </c>
    </row>
    <row r="16" spans="1:25" x14ac:dyDescent="0.2">
      <c r="A16" s="64"/>
      <c r="B16" s="23"/>
      <c r="C16" s="23">
        <v>27</v>
      </c>
      <c r="D16" s="27">
        <v>45829.481599999999</v>
      </c>
      <c r="E16" s="28">
        <v>41.447400000000002</v>
      </c>
      <c r="F16" s="28">
        <v>45.884500000000003</v>
      </c>
      <c r="G16" s="28">
        <v>45.683500000000002</v>
      </c>
      <c r="H16" s="28">
        <v>7307.83</v>
      </c>
      <c r="I16" s="28">
        <v>61.7</v>
      </c>
      <c r="J16" s="26">
        <f t="shared" si="0"/>
        <v>2.0299527777777779</v>
      </c>
      <c r="L16" s="27">
        <v>45829.481599999999</v>
      </c>
      <c r="M16" s="28">
        <v>41.447400000000002</v>
      </c>
      <c r="N16" s="28">
        <v>45.884500000000003</v>
      </c>
      <c r="O16" s="28">
        <v>45.683500000000002</v>
      </c>
      <c r="P16" s="28">
        <v>7309.5</v>
      </c>
      <c r="Q16" s="28">
        <v>61.43</v>
      </c>
      <c r="R16" s="26">
        <f t="shared" si="1"/>
        <v>2.0304166666666665</v>
      </c>
      <c r="S16" s="19"/>
      <c r="T16" s="29"/>
      <c r="U16" s="30"/>
      <c r="V16" s="30"/>
      <c r="W16" s="29"/>
      <c r="X16" s="30"/>
      <c r="Y16" s="31"/>
    </row>
    <row r="17" spans="1:25" x14ac:dyDescent="0.2">
      <c r="A17" s="64"/>
      <c r="B17" s="23"/>
      <c r="C17" s="23">
        <v>32</v>
      </c>
      <c r="D17" s="27">
        <v>25913.583999999999</v>
      </c>
      <c r="E17" s="28">
        <v>39.877899999999997</v>
      </c>
      <c r="F17" s="28">
        <v>45.238199999999999</v>
      </c>
      <c r="G17" s="28">
        <v>45.150700000000001</v>
      </c>
      <c r="H17" s="28">
        <v>6784.15</v>
      </c>
      <c r="I17" s="28">
        <v>55.33</v>
      </c>
      <c r="J17" s="26">
        <f t="shared" si="0"/>
        <v>1.8844861111111111</v>
      </c>
      <c r="L17" s="27">
        <v>25913.583999999999</v>
      </c>
      <c r="M17" s="28">
        <v>39.877899999999997</v>
      </c>
      <c r="N17" s="28">
        <v>45.238199999999999</v>
      </c>
      <c r="O17" s="28">
        <v>45.150700000000001</v>
      </c>
      <c r="P17" s="28">
        <v>6693.24</v>
      </c>
      <c r="Q17" s="28">
        <v>55.54</v>
      </c>
      <c r="R17" s="26">
        <f t="shared" si="1"/>
        <v>1.8592333333333333</v>
      </c>
      <c r="S17" s="19"/>
      <c r="T17" s="29"/>
      <c r="U17" s="44"/>
      <c r="V17" s="30"/>
      <c r="W17" s="29"/>
      <c r="X17" s="30"/>
      <c r="Y17" s="31"/>
    </row>
    <row r="18" spans="1:25" ht="12.75" thickBot="1" x14ac:dyDescent="0.25">
      <c r="A18" s="65"/>
      <c r="B18" s="32"/>
      <c r="C18" s="32">
        <v>37</v>
      </c>
      <c r="D18" s="36">
        <v>14447.590399999999</v>
      </c>
      <c r="E18" s="37">
        <v>38.155000000000001</v>
      </c>
      <c r="F18" s="37">
        <v>44.748899999999999</v>
      </c>
      <c r="G18" s="37">
        <v>44.688699999999997</v>
      </c>
      <c r="H18" s="37">
        <v>6389.87</v>
      </c>
      <c r="I18" s="37">
        <v>51.12</v>
      </c>
      <c r="J18" s="35">
        <f t="shared" si="0"/>
        <v>1.7749638888888888</v>
      </c>
      <c r="L18" s="36">
        <v>14447.590399999999</v>
      </c>
      <c r="M18" s="37">
        <v>38.155000000000001</v>
      </c>
      <c r="N18" s="37">
        <v>44.748899999999999</v>
      </c>
      <c r="O18" s="37">
        <v>44.688699999999997</v>
      </c>
      <c r="P18" s="37">
        <v>6342.33</v>
      </c>
      <c r="Q18" s="37">
        <v>50.84</v>
      </c>
      <c r="R18" s="35">
        <f t="shared" si="1"/>
        <v>1.7617583333333333</v>
      </c>
      <c r="S18" s="19"/>
      <c r="T18" s="38"/>
      <c r="U18" s="39"/>
      <c r="V18" s="39"/>
      <c r="W18" s="38"/>
      <c r="X18" s="39"/>
      <c r="Y18" s="40"/>
    </row>
    <row r="19" spans="1:25" x14ac:dyDescent="0.2">
      <c r="A19" s="13" t="s">
        <v>7</v>
      </c>
      <c r="B19" s="13" t="s">
        <v>8</v>
      </c>
      <c r="C19" s="13">
        <v>22</v>
      </c>
      <c r="D19" s="14">
        <v>21929.988799999999</v>
      </c>
      <c r="E19" s="15">
        <v>42.794899999999998</v>
      </c>
      <c r="F19" s="15">
        <v>44.552399999999999</v>
      </c>
      <c r="G19" s="15">
        <v>46.091700000000003</v>
      </c>
      <c r="H19" s="15">
        <v>3743.66</v>
      </c>
      <c r="I19" s="15">
        <v>33.549999999999997</v>
      </c>
      <c r="J19" s="16">
        <f t="shared" si="0"/>
        <v>1.0399055555555554</v>
      </c>
      <c r="L19" s="14">
        <v>21929.988799999999</v>
      </c>
      <c r="M19" s="15">
        <v>42.794899999999998</v>
      </c>
      <c r="N19" s="15">
        <v>44.552399999999999</v>
      </c>
      <c r="O19" s="15">
        <v>46.091700000000003</v>
      </c>
      <c r="P19" s="15">
        <v>3852.99</v>
      </c>
      <c r="Q19" s="15">
        <v>33</v>
      </c>
      <c r="R19" s="16">
        <f t="shared" si="1"/>
        <v>1.0702749999999999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12057.968800000001</v>
      </c>
      <c r="E20" s="25">
        <v>41.084600000000002</v>
      </c>
      <c r="F20" s="25">
        <v>42.649500000000003</v>
      </c>
      <c r="G20" s="25">
        <v>43.673999999999999</v>
      </c>
      <c r="H20" s="25">
        <v>3196.59</v>
      </c>
      <c r="I20" s="25">
        <v>28.49</v>
      </c>
      <c r="J20" s="26">
        <f t="shared" si="0"/>
        <v>0.88794166666666674</v>
      </c>
      <c r="L20" s="24">
        <v>12057.968800000001</v>
      </c>
      <c r="M20" s="25">
        <v>41.084600000000002</v>
      </c>
      <c r="N20" s="25">
        <v>42.649500000000003</v>
      </c>
      <c r="O20" s="25">
        <v>43.673999999999999</v>
      </c>
      <c r="P20" s="25">
        <v>3168.34</v>
      </c>
      <c r="Q20" s="25">
        <v>28.65</v>
      </c>
      <c r="R20" s="26">
        <f t="shared" si="1"/>
        <v>0.88009444444444451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6809.8648000000003</v>
      </c>
      <c r="E21" s="25">
        <v>38.994</v>
      </c>
      <c r="F21" s="25">
        <v>41.175600000000003</v>
      </c>
      <c r="G21" s="25">
        <v>42.112299999999998</v>
      </c>
      <c r="H21" s="25">
        <v>2873.4</v>
      </c>
      <c r="I21" s="25">
        <v>25.98</v>
      </c>
      <c r="J21" s="26">
        <f t="shared" si="0"/>
        <v>0.79816666666666669</v>
      </c>
      <c r="L21" s="24">
        <v>6809.8648000000003</v>
      </c>
      <c r="M21" s="25">
        <v>38.994</v>
      </c>
      <c r="N21" s="25">
        <v>41.175600000000003</v>
      </c>
      <c r="O21" s="25">
        <v>42.112299999999998</v>
      </c>
      <c r="P21" s="25">
        <v>2868.36</v>
      </c>
      <c r="Q21" s="25">
        <v>25.38</v>
      </c>
      <c r="R21" s="26">
        <f t="shared" si="1"/>
        <v>0.79676666666666673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3804.7368000000001</v>
      </c>
      <c r="E22" s="34">
        <v>36.541400000000003</v>
      </c>
      <c r="F22" s="34">
        <v>40.104700000000001</v>
      </c>
      <c r="G22" s="34">
        <v>41.1892</v>
      </c>
      <c r="H22" s="34">
        <v>2691.53</v>
      </c>
      <c r="I22" s="34">
        <v>23.54</v>
      </c>
      <c r="J22" s="35">
        <f t="shared" si="0"/>
        <v>0.74764722222222224</v>
      </c>
      <c r="L22" s="33">
        <v>3804.7368000000001</v>
      </c>
      <c r="M22" s="34">
        <v>36.541400000000003</v>
      </c>
      <c r="N22" s="34">
        <v>40.104700000000001</v>
      </c>
      <c r="O22" s="34">
        <v>41.1892</v>
      </c>
      <c r="P22" s="34">
        <v>2695.56</v>
      </c>
      <c r="Q22" s="34">
        <v>23.5</v>
      </c>
      <c r="R22" s="35">
        <f t="shared" si="1"/>
        <v>0.74876666666666669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52360.661599999999</v>
      </c>
      <c r="E23" s="15">
        <v>41.732399999999998</v>
      </c>
      <c r="F23" s="15">
        <v>43.277200000000001</v>
      </c>
      <c r="G23" s="15">
        <v>44.146799999999999</v>
      </c>
      <c r="H23" s="15">
        <v>4506.04</v>
      </c>
      <c r="I23" s="15">
        <v>49.73</v>
      </c>
      <c r="J23" s="16">
        <f t="shared" si="0"/>
        <v>1.2516777777777777</v>
      </c>
      <c r="L23" s="14">
        <v>52360.661599999999</v>
      </c>
      <c r="M23" s="15">
        <v>41.732399999999998</v>
      </c>
      <c r="N23" s="15">
        <v>43.277200000000001</v>
      </c>
      <c r="O23" s="15">
        <v>44.146799999999999</v>
      </c>
      <c r="P23" s="15">
        <v>4507.25</v>
      </c>
      <c r="Q23" s="15">
        <v>49.93</v>
      </c>
      <c r="R23" s="16">
        <f t="shared" si="1"/>
        <v>1.252013888888889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28431.42</v>
      </c>
      <c r="E24" s="25">
        <v>38.621000000000002</v>
      </c>
      <c r="F24" s="25">
        <v>40.584899999999998</v>
      </c>
      <c r="G24" s="25">
        <v>41.325299999999999</v>
      </c>
      <c r="H24" s="25">
        <v>3750.2</v>
      </c>
      <c r="I24" s="25">
        <v>41.08</v>
      </c>
      <c r="J24" s="26">
        <f t="shared" si="0"/>
        <v>1.0417222222222222</v>
      </c>
      <c r="L24" s="24">
        <v>28431.42</v>
      </c>
      <c r="M24" s="25">
        <v>38.621000000000002</v>
      </c>
      <c r="N24" s="25">
        <v>40.584899999999998</v>
      </c>
      <c r="O24" s="25">
        <v>41.325299999999999</v>
      </c>
      <c r="P24" s="25">
        <v>3765.65</v>
      </c>
      <c r="Q24" s="25">
        <v>40.61</v>
      </c>
      <c r="R24" s="26">
        <f t="shared" si="1"/>
        <v>1.046013888888889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14777.852800000001</v>
      </c>
      <c r="E25" s="25">
        <v>35.605899999999998</v>
      </c>
      <c r="F25" s="25">
        <v>38.645400000000002</v>
      </c>
      <c r="G25" s="25">
        <v>39.698099999999997</v>
      </c>
      <c r="H25" s="25">
        <v>3252.68</v>
      </c>
      <c r="I25" s="25">
        <v>34.18</v>
      </c>
      <c r="J25" s="26">
        <f t="shared" si="0"/>
        <v>0.90352222222222223</v>
      </c>
      <c r="L25" s="24">
        <v>14777.852800000001</v>
      </c>
      <c r="M25" s="25">
        <v>35.605899999999998</v>
      </c>
      <c r="N25" s="25">
        <v>38.645400000000002</v>
      </c>
      <c r="O25" s="25">
        <v>39.698099999999997</v>
      </c>
      <c r="P25" s="25">
        <v>3233.75</v>
      </c>
      <c r="Q25" s="25">
        <v>33.81</v>
      </c>
      <c r="R25" s="26">
        <f t="shared" si="1"/>
        <v>0.89826388888888886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7270.0767999999998</v>
      </c>
      <c r="E26" s="34">
        <v>32.772599999999997</v>
      </c>
      <c r="F26" s="34">
        <v>37.372799999999998</v>
      </c>
      <c r="G26" s="34">
        <v>38.840299999999999</v>
      </c>
      <c r="H26" s="34">
        <v>2882.09</v>
      </c>
      <c r="I26" s="34">
        <v>27.74</v>
      </c>
      <c r="J26" s="35">
        <f t="shared" si="0"/>
        <v>0.80058055555555563</v>
      </c>
      <c r="L26" s="33">
        <v>7270.0767999999998</v>
      </c>
      <c r="M26" s="34">
        <v>32.772599999999997</v>
      </c>
      <c r="N26" s="34">
        <v>37.372799999999998</v>
      </c>
      <c r="O26" s="34">
        <v>38.840299999999999</v>
      </c>
      <c r="P26" s="34">
        <v>2877.45</v>
      </c>
      <c r="Q26" s="34">
        <v>27.63</v>
      </c>
      <c r="R26" s="35">
        <f t="shared" si="1"/>
        <v>0.79929166666666662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104223.86</v>
      </c>
      <c r="E27" s="15">
        <v>40.599400000000003</v>
      </c>
      <c r="F27" s="15">
        <v>41.698799999999999</v>
      </c>
      <c r="G27" s="15">
        <v>44.222700000000003</v>
      </c>
      <c r="H27" s="15">
        <v>9697.99</v>
      </c>
      <c r="I27" s="15">
        <v>103.92</v>
      </c>
      <c r="J27" s="16">
        <f t="shared" si="0"/>
        <v>2.693886111111111</v>
      </c>
      <c r="L27" s="14">
        <v>104223.86</v>
      </c>
      <c r="M27" s="15">
        <v>40.599400000000003</v>
      </c>
      <c r="N27" s="15">
        <v>41.698799999999999</v>
      </c>
      <c r="O27" s="15">
        <v>44.222700000000003</v>
      </c>
      <c r="P27" s="15">
        <v>9680.18</v>
      </c>
      <c r="Q27" s="15">
        <v>103.53</v>
      </c>
      <c r="R27" s="16">
        <f t="shared" si="1"/>
        <v>2.688938888888889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48317.286399999997</v>
      </c>
      <c r="E28" s="25">
        <v>37.951700000000002</v>
      </c>
      <c r="F28" s="25">
        <v>39.419199999999996</v>
      </c>
      <c r="G28" s="25">
        <v>42.006</v>
      </c>
      <c r="H28" s="25">
        <v>7729.75</v>
      </c>
      <c r="I28" s="25">
        <v>79.510000000000005</v>
      </c>
      <c r="J28" s="26">
        <f t="shared" si="0"/>
        <v>2.1471527777777779</v>
      </c>
      <c r="L28" s="24">
        <v>48317.286399999997</v>
      </c>
      <c r="M28" s="25">
        <v>37.951700000000002</v>
      </c>
      <c r="N28" s="25">
        <v>39.419199999999996</v>
      </c>
      <c r="O28" s="25">
        <v>42.006</v>
      </c>
      <c r="P28" s="25">
        <v>7794.05</v>
      </c>
      <c r="Q28" s="25">
        <v>79.64</v>
      </c>
      <c r="R28" s="26">
        <f t="shared" si="1"/>
        <v>2.1650138888888888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26194.5952</v>
      </c>
      <c r="E29" s="25">
        <v>35.686799999999998</v>
      </c>
      <c r="F29" s="25">
        <v>38.311700000000002</v>
      </c>
      <c r="G29" s="25">
        <v>40.247999999999998</v>
      </c>
      <c r="H29" s="25">
        <v>6596</v>
      </c>
      <c r="I29" s="25">
        <v>67.98</v>
      </c>
      <c r="J29" s="26">
        <f t="shared" si="0"/>
        <v>1.8322222222222222</v>
      </c>
      <c r="L29" s="24">
        <v>26194.5952</v>
      </c>
      <c r="M29" s="25">
        <v>35.686799999999998</v>
      </c>
      <c r="N29" s="25">
        <v>38.311700000000002</v>
      </c>
      <c r="O29" s="25">
        <v>40.247999999999998</v>
      </c>
      <c r="P29" s="25">
        <v>6699.53</v>
      </c>
      <c r="Q29" s="25">
        <v>67.87</v>
      </c>
      <c r="R29" s="26">
        <f t="shared" si="1"/>
        <v>1.8609805555555554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14176.4656</v>
      </c>
      <c r="E30" s="34">
        <v>33.237200000000001</v>
      </c>
      <c r="F30" s="34">
        <v>37.461199999999998</v>
      </c>
      <c r="G30" s="34">
        <v>38.932699999999997</v>
      </c>
      <c r="H30" s="34">
        <v>5983.03</v>
      </c>
      <c r="I30" s="34">
        <v>58.35</v>
      </c>
      <c r="J30" s="35">
        <f t="shared" si="0"/>
        <v>1.6619527777777776</v>
      </c>
      <c r="L30" s="33">
        <v>14176.4656</v>
      </c>
      <c r="M30" s="34">
        <v>33.237200000000001</v>
      </c>
      <c r="N30" s="34">
        <v>37.461199999999998</v>
      </c>
      <c r="O30" s="34">
        <v>38.932699999999997</v>
      </c>
      <c r="P30" s="34">
        <v>5976.49</v>
      </c>
      <c r="Q30" s="34">
        <v>58.5</v>
      </c>
      <c r="R30" s="35">
        <f t="shared" si="1"/>
        <v>1.660136111111111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70028.487999999998</v>
      </c>
      <c r="E31" s="15">
        <v>41.311199999999999</v>
      </c>
      <c r="F31" s="15">
        <v>44.463299999999997</v>
      </c>
      <c r="G31" s="15">
        <v>46.081600000000002</v>
      </c>
      <c r="H31" s="15">
        <v>8783.98</v>
      </c>
      <c r="I31" s="15">
        <v>88.93</v>
      </c>
      <c r="J31" s="16">
        <f t="shared" si="0"/>
        <v>2.4399944444444444</v>
      </c>
      <c r="L31" s="14">
        <v>70028.487999999998</v>
      </c>
      <c r="M31" s="15">
        <v>41.311199999999999</v>
      </c>
      <c r="N31" s="15">
        <v>44.463299999999997</v>
      </c>
      <c r="O31" s="15">
        <v>46.081600000000002</v>
      </c>
      <c r="P31" s="15">
        <v>8780.7199999999993</v>
      </c>
      <c r="Q31" s="15">
        <v>88.42</v>
      </c>
      <c r="R31" s="16">
        <f t="shared" si="1"/>
        <v>2.4390888888888886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28807.243200000001</v>
      </c>
      <c r="E32" s="25">
        <v>38.745199999999997</v>
      </c>
      <c r="F32" s="25">
        <v>42.892299999999999</v>
      </c>
      <c r="G32" s="25">
        <v>43.789099999999998</v>
      </c>
      <c r="H32" s="25">
        <v>7067.95</v>
      </c>
      <c r="I32" s="25">
        <v>69.680000000000007</v>
      </c>
      <c r="J32" s="26">
        <f t="shared" si="0"/>
        <v>1.9633194444444444</v>
      </c>
      <c r="L32" s="24">
        <v>28807.243200000001</v>
      </c>
      <c r="M32" s="25">
        <v>38.745199999999997</v>
      </c>
      <c r="N32" s="25">
        <v>42.892299999999999</v>
      </c>
      <c r="O32" s="25">
        <v>43.789099999999998</v>
      </c>
      <c r="P32" s="25">
        <v>7106.97</v>
      </c>
      <c r="Q32" s="25">
        <v>69.95</v>
      </c>
      <c r="R32" s="26">
        <f t="shared" si="1"/>
        <v>1.9741583333333335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15045.288</v>
      </c>
      <c r="E33" s="25">
        <v>36.962400000000002</v>
      </c>
      <c r="F33" s="25">
        <v>41.469000000000001</v>
      </c>
      <c r="G33" s="25">
        <v>41.823399999999999</v>
      </c>
      <c r="H33" s="25">
        <v>6161.76</v>
      </c>
      <c r="I33" s="25">
        <v>60.27</v>
      </c>
      <c r="J33" s="26">
        <f t="shared" si="0"/>
        <v>1.7116</v>
      </c>
      <c r="L33" s="24">
        <v>15045.288</v>
      </c>
      <c r="M33" s="25">
        <v>36.962400000000002</v>
      </c>
      <c r="N33" s="25">
        <v>41.469000000000001</v>
      </c>
      <c r="O33" s="25">
        <v>41.823399999999999</v>
      </c>
      <c r="P33" s="25">
        <v>6180.3</v>
      </c>
      <c r="Q33" s="25">
        <v>60.15</v>
      </c>
      <c r="R33" s="26">
        <f t="shared" si="1"/>
        <v>1.71675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8399.5735999999997</v>
      </c>
      <c r="E34" s="34">
        <v>34.971600000000002</v>
      </c>
      <c r="F34" s="34">
        <v>40.3352</v>
      </c>
      <c r="G34" s="34">
        <v>40.359099999999998</v>
      </c>
      <c r="H34" s="34">
        <v>5846.2</v>
      </c>
      <c r="I34" s="34">
        <v>53.39</v>
      </c>
      <c r="J34" s="35">
        <f t="shared" si="0"/>
        <v>1.6239444444444444</v>
      </c>
      <c r="L34" s="33">
        <v>8399.5735999999997</v>
      </c>
      <c r="M34" s="34">
        <v>34.971600000000002</v>
      </c>
      <c r="N34" s="34">
        <v>40.3352</v>
      </c>
      <c r="O34" s="34">
        <v>40.359099999999998</v>
      </c>
      <c r="P34" s="34">
        <v>5744.63</v>
      </c>
      <c r="Q34" s="34">
        <v>53.59</v>
      </c>
      <c r="R34" s="35">
        <f t="shared" si="1"/>
        <v>1.5957305555555557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179415.48</v>
      </c>
      <c r="E35" s="15">
        <v>42.486699999999999</v>
      </c>
      <c r="F35" s="15">
        <v>42.717100000000002</v>
      </c>
      <c r="G35" s="15">
        <v>44.506999999999998</v>
      </c>
      <c r="H35" s="15">
        <v>12505.81</v>
      </c>
      <c r="I35" s="15">
        <v>137.66</v>
      </c>
      <c r="J35" s="16">
        <f t="shared" si="0"/>
        <v>3.4738361111111109</v>
      </c>
      <c r="L35" s="14">
        <v>179415.48</v>
      </c>
      <c r="M35" s="15">
        <v>42.486699999999999</v>
      </c>
      <c r="N35" s="15">
        <v>42.717100000000002</v>
      </c>
      <c r="O35" s="15">
        <v>44.506999999999998</v>
      </c>
      <c r="P35" s="15">
        <v>12308.3</v>
      </c>
      <c r="Q35" s="15">
        <v>137.59</v>
      </c>
      <c r="R35" s="16">
        <f t="shared" si="1"/>
        <v>3.4189722222222221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78885.695200000002</v>
      </c>
      <c r="E36" s="25">
        <v>37.098700000000001</v>
      </c>
      <c r="F36" s="25">
        <v>40.741399999999999</v>
      </c>
      <c r="G36" s="25">
        <v>42.939</v>
      </c>
      <c r="H36" s="25">
        <v>9784.86</v>
      </c>
      <c r="I36" s="25">
        <v>103.49</v>
      </c>
      <c r="J36" s="26">
        <f t="shared" si="0"/>
        <v>2.7180166666666667</v>
      </c>
      <c r="L36" s="24">
        <v>78885.695200000002</v>
      </c>
      <c r="M36" s="25">
        <v>37.098700000000001</v>
      </c>
      <c r="N36" s="25">
        <v>40.741399999999999</v>
      </c>
      <c r="O36" s="25">
        <v>42.939</v>
      </c>
      <c r="P36" s="25">
        <v>9878.16</v>
      </c>
      <c r="Q36" s="25">
        <v>102.82</v>
      </c>
      <c r="R36" s="26">
        <f t="shared" si="1"/>
        <v>2.7439333333333331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40111.751199999999</v>
      </c>
      <c r="E37" s="25">
        <v>34.463200000000001</v>
      </c>
      <c r="F37" s="25">
        <v>39.252899999999997</v>
      </c>
      <c r="G37" s="25">
        <v>41.671700000000001</v>
      </c>
      <c r="H37" s="25">
        <v>8331.35</v>
      </c>
      <c r="I37" s="25">
        <v>86.66</v>
      </c>
      <c r="J37" s="26">
        <f t="shared" si="0"/>
        <v>2.3142638888888891</v>
      </c>
      <c r="L37" s="24">
        <v>40111.751199999999</v>
      </c>
      <c r="M37" s="25">
        <v>34.463200000000001</v>
      </c>
      <c r="N37" s="25">
        <v>39.252899999999997</v>
      </c>
      <c r="O37" s="25">
        <v>41.671700000000001</v>
      </c>
      <c r="P37" s="25">
        <v>8307.69</v>
      </c>
      <c r="Q37" s="25">
        <v>86.15</v>
      </c>
      <c r="R37" s="26">
        <f t="shared" si="1"/>
        <v>2.3076916666666669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21625.168799999999</v>
      </c>
      <c r="E38" s="34">
        <v>31.983599999999999</v>
      </c>
      <c r="F38" s="34">
        <v>38.228999999999999</v>
      </c>
      <c r="G38" s="34">
        <v>40.713200000000001</v>
      </c>
      <c r="H38" s="34">
        <v>7397.07</v>
      </c>
      <c r="I38" s="34">
        <v>74.73</v>
      </c>
      <c r="J38" s="35">
        <f t="shared" si="0"/>
        <v>2.0547416666666667</v>
      </c>
      <c r="L38" s="33">
        <v>21625.168799999999</v>
      </c>
      <c r="M38" s="34">
        <v>31.983599999999999</v>
      </c>
      <c r="N38" s="34">
        <v>38.228999999999999</v>
      </c>
      <c r="O38" s="34">
        <v>40.713200000000001</v>
      </c>
      <c r="P38" s="34">
        <v>7472.42</v>
      </c>
      <c r="Q38" s="34">
        <v>74.78</v>
      </c>
      <c r="R38" s="35">
        <f t="shared" si="1"/>
        <v>2.0756722222222224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20669.2376</v>
      </c>
      <c r="E39" s="15">
        <v>41.809899999999999</v>
      </c>
      <c r="F39" s="15">
        <v>43.8566</v>
      </c>
      <c r="G39" s="15">
        <v>44.488700000000001</v>
      </c>
      <c r="H39" s="15">
        <v>1837.16</v>
      </c>
      <c r="I39" s="15">
        <v>22.77</v>
      </c>
      <c r="J39" s="16">
        <f t="shared" si="0"/>
        <v>0.51032222222222223</v>
      </c>
      <c r="L39" s="14">
        <v>20669.2376</v>
      </c>
      <c r="M39" s="15">
        <v>41.809899999999999</v>
      </c>
      <c r="N39" s="15">
        <v>43.8566</v>
      </c>
      <c r="O39" s="15">
        <v>44.488700000000001</v>
      </c>
      <c r="P39" s="15">
        <v>1833.98</v>
      </c>
      <c r="Q39" s="15">
        <v>22.39</v>
      </c>
      <c r="R39" s="16">
        <f t="shared" si="1"/>
        <v>0.50943888888888889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11246.299199999999</v>
      </c>
      <c r="E40" s="25">
        <v>38.383600000000001</v>
      </c>
      <c r="F40" s="25">
        <v>40.981000000000002</v>
      </c>
      <c r="G40" s="25">
        <v>41.210599999999999</v>
      </c>
      <c r="H40" s="25">
        <v>1549.27</v>
      </c>
      <c r="I40" s="25">
        <v>18.02</v>
      </c>
      <c r="J40" s="26">
        <f t="shared" si="0"/>
        <v>0.43035277777777775</v>
      </c>
      <c r="L40" s="24">
        <v>11246.299199999999</v>
      </c>
      <c r="M40" s="25">
        <v>38.383600000000001</v>
      </c>
      <c r="N40" s="25">
        <v>40.981000000000002</v>
      </c>
      <c r="O40" s="25">
        <v>41.210599999999999</v>
      </c>
      <c r="P40" s="25">
        <v>1555.59</v>
      </c>
      <c r="Q40" s="25">
        <v>18.16</v>
      </c>
      <c r="R40" s="26">
        <f t="shared" si="1"/>
        <v>0.43210833333333332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6010.0303999999996</v>
      </c>
      <c r="E41" s="25">
        <v>35.386800000000001</v>
      </c>
      <c r="F41" s="25">
        <v>38.673499999999997</v>
      </c>
      <c r="G41" s="25">
        <v>38.6663</v>
      </c>
      <c r="H41" s="25">
        <v>1325.32</v>
      </c>
      <c r="I41" s="25">
        <v>14.75</v>
      </c>
      <c r="J41" s="26">
        <f t="shared" si="0"/>
        <v>0.36814444444444444</v>
      </c>
      <c r="L41" s="24">
        <v>6010.0303999999996</v>
      </c>
      <c r="M41" s="25">
        <v>35.386800000000001</v>
      </c>
      <c r="N41" s="25">
        <v>38.673499999999997</v>
      </c>
      <c r="O41" s="25">
        <v>38.6663</v>
      </c>
      <c r="P41" s="25">
        <v>1333.73</v>
      </c>
      <c r="Q41" s="25">
        <v>14.47</v>
      </c>
      <c r="R41" s="26">
        <f t="shared" si="1"/>
        <v>0.37048055555555554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3301.72</v>
      </c>
      <c r="E42" s="34">
        <v>32.7089</v>
      </c>
      <c r="F42" s="34">
        <v>37.0518</v>
      </c>
      <c r="G42" s="34">
        <v>36.857399999999998</v>
      </c>
      <c r="H42" s="34">
        <v>1198.07</v>
      </c>
      <c r="I42" s="34">
        <v>11.98</v>
      </c>
      <c r="J42" s="35">
        <f t="shared" si="0"/>
        <v>0.33279722222222219</v>
      </c>
      <c r="L42" s="33">
        <v>3301.72</v>
      </c>
      <c r="M42" s="34">
        <v>32.7089</v>
      </c>
      <c r="N42" s="34">
        <v>37.0518</v>
      </c>
      <c r="O42" s="34">
        <v>36.857399999999998</v>
      </c>
      <c r="P42" s="34">
        <v>1193.76</v>
      </c>
      <c r="Q42" s="34">
        <v>12.39</v>
      </c>
      <c r="R42" s="35">
        <f t="shared" si="1"/>
        <v>0.33160000000000001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23177.308799999999</v>
      </c>
      <c r="E43" s="15">
        <v>41.989400000000003</v>
      </c>
      <c r="F43" s="15">
        <v>44.0732</v>
      </c>
      <c r="G43" s="15">
        <v>45.499499999999998</v>
      </c>
      <c r="H43" s="15">
        <v>2144.8000000000002</v>
      </c>
      <c r="I43" s="15">
        <v>24.26</v>
      </c>
      <c r="J43" s="16">
        <f t="shared" si="0"/>
        <v>0.59577777777777785</v>
      </c>
      <c r="L43" s="14">
        <v>23177.308799999999</v>
      </c>
      <c r="M43" s="15">
        <v>41.989400000000003</v>
      </c>
      <c r="N43" s="15">
        <v>44.0732</v>
      </c>
      <c r="O43" s="15">
        <v>45.499499999999998</v>
      </c>
      <c r="P43" s="15">
        <v>2149.6</v>
      </c>
      <c r="Q43" s="15">
        <v>24.66</v>
      </c>
      <c r="R43" s="16">
        <f t="shared" si="1"/>
        <v>0.59711111111111104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13881.364799999999</v>
      </c>
      <c r="E44" s="25">
        <v>39.054499999999997</v>
      </c>
      <c r="F44" s="25">
        <v>41.591200000000001</v>
      </c>
      <c r="G44" s="25">
        <v>42.740099999999998</v>
      </c>
      <c r="H44" s="25">
        <v>1859.41</v>
      </c>
      <c r="I44" s="25">
        <v>20.62</v>
      </c>
      <c r="J44" s="26">
        <f t="shared" si="0"/>
        <v>0.51650277777777776</v>
      </c>
      <c r="L44" s="24">
        <v>13881.364799999999</v>
      </c>
      <c r="M44" s="25">
        <v>39.054499999999997</v>
      </c>
      <c r="N44" s="25">
        <v>41.591200000000001</v>
      </c>
      <c r="O44" s="25">
        <v>42.740099999999998</v>
      </c>
      <c r="P44" s="25">
        <v>1853.92</v>
      </c>
      <c r="Q44" s="25">
        <v>20.86</v>
      </c>
      <c r="R44" s="26">
        <f t="shared" si="1"/>
        <v>0.51497777777777776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8170.4080000000004</v>
      </c>
      <c r="E45" s="25">
        <v>35.963700000000003</v>
      </c>
      <c r="F45" s="25">
        <v>39.637599999999999</v>
      </c>
      <c r="G45" s="25">
        <v>40.6173</v>
      </c>
      <c r="H45" s="25">
        <v>1630.8</v>
      </c>
      <c r="I45" s="25">
        <v>18.12</v>
      </c>
      <c r="J45" s="26">
        <f t="shared" si="0"/>
        <v>0.45300000000000001</v>
      </c>
      <c r="L45" s="24">
        <v>8170.4080000000004</v>
      </c>
      <c r="M45" s="25">
        <v>35.963700000000003</v>
      </c>
      <c r="N45" s="25">
        <v>39.637599999999999</v>
      </c>
      <c r="O45" s="25">
        <v>40.6173</v>
      </c>
      <c r="P45" s="25">
        <v>1616.7</v>
      </c>
      <c r="Q45" s="25">
        <v>17.440000000000001</v>
      </c>
      <c r="R45" s="26">
        <f t="shared" si="1"/>
        <v>0.44908333333333333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4662.2615999999998</v>
      </c>
      <c r="E46" s="34">
        <v>32.855800000000002</v>
      </c>
      <c r="F46" s="34">
        <v>38.2254</v>
      </c>
      <c r="G46" s="34">
        <v>39.111699999999999</v>
      </c>
      <c r="H46" s="34">
        <v>1495.66</v>
      </c>
      <c r="I46" s="34">
        <v>15.06</v>
      </c>
      <c r="J46" s="35">
        <f t="shared" si="0"/>
        <v>0.41546111111111111</v>
      </c>
      <c r="L46" s="33">
        <v>4662.2615999999998</v>
      </c>
      <c r="M46" s="34">
        <v>32.855800000000002</v>
      </c>
      <c r="N46" s="34">
        <v>38.2254</v>
      </c>
      <c r="O46" s="34">
        <v>39.111699999999999</v>
      </c>
      <c r="P46" s="34">
        <v>1469.58</v>
      </c>
      <c r="Q46" s="34">
        <v>15.38</v>
      </c>
      <c r="R46" s="35">
        <f t="shared" si="1"/>
        <v>0.40821666666666667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43721.409599999999</v>
      </c>
      <c r="E47" s="15">
        <v>41.115299999999998</v>
      </c>
      <c r="F47" s="15">
        <v>42.517000000000003</v>
      </c>
      <c r="G47" s="15">
        <v>43.381799999999998</v>
      </c>
      <c r="H47" s="15">
        <v>2260.34</v>
      </c>
      <c r="I47" s="15">
        <v>29.16</v>
      </c>
      <c r="J47" s="16">
        <f t="shared" si="0"/>
        <v>0.62787222222222228</v>
      </c>
      <c r="L47" s="14">
        <v>43721.409599999999</v>
      </c>
      <c r="M47" s="15">
        <v>41.115299999999998</v>
      </c>
      <c r="N47" s="15">
        <v>42.517000000000003</v>
      </c>
      <c r="O47" s="15">
        <v>43.381799999999998</v>
      </c>
      <c r="P47" s="15">
        <v>2250.5300000000002</v>
      </c>
      <c r="Q47" s="15">
        <v>29.16</v>
      </c>
      <c r="R47" s="16">
        <f t="shared" si="1"/>
        <v>0.6251472222222223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27130.3</v>
      </c>
      <c r="E48" s="25">
        <v>36.879399999999997</v>
      </c>
      <c r="F48" s="25">
        <v>39.225900000000003</v>
      </c>
      <c r="G48" s="25">
        <v>39.999299999999998</v>
      </c>
      <c r="H48" s="25">
        <v>1969.93</v>
      </c>
      <c r="I48" s="25">
        <v>23.72</v>
      </c>
      <c r="J48" s="26">
        <f t="shared" si="0"/>
        <v>0.54720277777777782</v>
      </c>
      <c r="L48" s="24">
        <v>27130.3</v>
      </c>
      <c r="M48" s="25">
        <v>36.879399999999997</v>
      </c>
      <c r="N48" s="25">
        <v>39.225900000000003</v>
      </c>
      <c r="O48" s="25">
        <v>39.999299999999998</v>
      </c>
      <c r="P48" s="25">
        <v>1966.99</v>
      </c>
      <c r="Q48" s="25">
        <v>24.38</v>
      </c>
      <c r="R48" s="26">
        <f t="shared" si="1"/>
        <v>0.54638611111111113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16174.54</v>
      </c>
      <c r="E49" s="25">
        <v>33.0563</v>
      </c>
      <c r="F49" s="25">
        <v>37.008299999999998</v>
      </c>
      <c r="G49" s="25">
        <v>37.679200000000002</v>
      </c>
      <c r="H49" s="25">
        <v>1692.67</v>
      </c>
      <c r="I49" s="25">
        <v>20</v>
      </c>
      <c r="J49" s="26">
        <f t="shared" si="0"/>
        <v>0.47018611111111114</v>
      </c>
      <c r="L49" s="24">
        <v>16174.54</v>
      </c>
      <c r="M49" s="25">
        <v>33.0563</v>
      </c>
      <c r="N49" s="25">
        <v>37.008299999999998</v>
      </c>
      <c r="O49" s="25">
        <v>37.679200000000002</v>
      </c>
      <c r="P49" s="25">
        <v>1694.2</v>
      </c>
      <c r="Q49" s="25">
        <v>19.989999999999998</v>
      </c>
      <c r="R49" s="26">
        <f t="shared" si="1"/>
        <v>0.47061111111111115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8761.1848000000009</v>
      </c>
      <c r="E50" s="34">
        <v>29.356300000000001</v>
      </c>
      <c r="F50" s="34">
        <v>35.491199999999999</v>
      </c>
      <c r="G50" s="34">
        <v>36.126199999999997</v>
      </c>
      <c r="H50" s="34">
        <v>1453.98</v>
      </c>
      <c r="I50" s="34">
        <v>16.760000000000002</v>
      </c>
      <c r="J50" s="35">
        <f t="shared" si="0"/>
        <v>0.40388333333333332</v>
      </c>
      <c r="L50" s="33">
        <v>8761.1848000000009</v>
      </c>
      <c r="M50" s="34">
        <v>29.356300000000001</v>
      </c>
      <c r="N50" s="34">
        <v>35.491199999999999</v>
      </c>
      <c r="O50" s="34">
        <v>36.126199999999997</v>
      </c>
      <c r="P50" s="34">
        <v>1451.49</v>
      </c>
      <c r="Q50" s="34">
        <v>16.86</v>
      </c>
      <c r="R50" s="35">
        <f t="shared" si="1"/>
        <v>0.40319166666666667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14910.307199999999</v>
      </c>
      <c r="E51" s="15">
        <v>42.369799999999998</v>
      </c>
      <c r="F51" s="15">
        <v>43.537799999999997</v>
      </c>
      <c r="G51" s="15">
        <v>44.397100000000002</v>
      </c>
      <c r="H51" s="15">
        <v>1100.83</v>
      </c>
      <c r="I51" s="15">
        <v>12.25</v>
      </c>
      <c r="J51" s="16">
        <f t="shared" si="0"/>
        <v>0.30578611111111109</v>
      </c>
      <c r="L51" s="14">
        <v>14910.307199999999</v>
      </c>
      <c r="M51" s="15">
        <v>42.369799999999998</v>
      </c>
      <c r="N51" s="15">
        <v>43.537799999999997</v>
      </c>
      <c r="O51" s="15">
        <v>44.397100000000002</v>
      </c>
      <c r="P51" s="15">
        <v>1106.6400000000001</v>
      </c>
      <c r="Q51" s="15">
        <v>12.13</v>
      </c>
      <c r="R51" s="16">
        <f t="shared" si="1"/>
        <v>0.30740000000000001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8960.9351999999999</v>
      </c>
      <c r="E52" s="25">
        <v>38.944800000000001</v>
      </c>
      <c r="F52" s="25">
        <v>40.1648</v>
      </c>
      <c r="G52" s="25">
        <v>41.585900000000002</v>
      </c>
      <c r="H52" s="25">
        <v>956.64</v>
      </c>
      <c r="I52" s="25">
        <v>10.210000000000001</v>
      </c>
      <c r="J52" s="26">
        <f t="shared" si="0"/>
        <v>0.26573333333333332</v>
      </c>
      <c r="L52" s="24">
        <v>8960.9351999999999</v>
      </c>
      <c r="M52" s="25">
        <v>38.944800000000001</v>
      </c>
      <c r="N52" s="25">
        <v>40.1648</v>
      </c>
      <c r="O52" s="25">
        <v>41.585900000000002</v>
      </c>
      <c r="P52" s="25">
        <v>962.83</v>
      </c>
      <c r="Q52" s="25">
        <v>10.47</v>
      </c>
      <c r="R52" s="26">
        <f t="shared" si="1"/>
        <v>0.26745277777777776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5086.5343999999996</v>
      </c>
      <c r="E53" s="25">
        <v>35.496200000000002</v>
      </c>
      <c r="F53" s="25">
        <v>37.7928</v>
      </c>
      <c r="G53" s="25">
        <v>39.604500000000002</v>
      </c>
      <c r="H53" s="25">
        <v>855.62</v>
      </c>
      <c r="I53" s="25">
        <v>8.99</v>
      </c>
      <c r="J53" s="26">
        <f t="shared" si="0"/>
        <v>0.23767222222222223</v>
      </c>
      <c r="L53" s="24">
        <v>5086.5343999999996</v>
      </c>
      <c r="M53" s="25">
        <v>35.496200000000002</v>
      </c>
      <c r="N53" s="25">
        <v>37.7928</v>
      </c>
      <c r="O53" s="25">
        <v>39.604500000000002</v>
      </c>
      <c r="P53" s="25">
        <v>842.96</v>
      </c>
      <c r="Q53" s="25">
        <v>8.98</v>
      </c>
      <c r="R53" s="26">
        <f t="shared" si="1"/>
        <v>0.23415555555555556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2564.5567999999998</v>
      </c>
      <c r="E54" s="34">
        <v>32.104599999999998</v>
      </c>
      <c r="F54" s="34">
        <v>36.356499999999997</v>
      </c>
      <c r="G54" s="34">
        <v>38.1389</v>
      </c>
      <c r="H54" s="34">
        <v>745.99</v>
      </c>
      <c r="I54" s="34">
        <v>7.72</v>
      </c>
      <c r="J54" s="35">
        <f t="shared" si="0"/>
        <v>0.20721944444444446</v>
      </c>
      <c r="L54" s="33">
        <v>2564.5567999999998</v>
      </c>
      <c r="M54" s="34">
        <v>32.104599999999998</v>
      </c>
      <c r="N54" s="34">
        <v>36.356499999999997</v>
      </c>
      <c r="O54" s="34">
        <v>38.1389</v>
      </c>
      <c r="P54" s="34">
        <v>748.37</v>
      </c>
      <c r="Q54" s="34">
        <v>7.71</v>
      </c>
      <c r="R54" s="35">
        <f t="shared" si="1"/>
        <v>0.20788055555555557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5288.1495999999997</v>
      </c>
      <c r="E55" s="15">
        <v>43.0623</v>
      </c>
      <c r="F55" s="15">
        <v>45.135800000000003</v>
      </c>
      <c r="G55" s="15">
        <v>44.940600000000003</v>
      </c>
      <c r="H55" s="15">
        <v>440.66</v>
      </c>
      <c r="I55" s="15">
        <v>5.3</v>
      </c>
      <c r="J55" s="16">
        <f t="shared" si="0"/>
        <v>0.12240555555555556</v>
      </c>
      <c r="L55" s="14">
        <v>5288.1495999999997</v>
      </c>
      <c r="M55" s="15">
        <v>43.0623</v>
      </c>
      <c r="N55" s="15">
        <v>45.135800000000003</v>
      </c>
      <c r="O55" s="15">
        <v>44.940600000000003</v>
      </c>
      <c r="P55" s="15">
        <v>446.13</v>
      </c>
      <c r="Q55" s="15">
        <v>5.26</v>
      </c>
      <c r="R55" s="16">
        <f t="shared" si="1"/>
        <v>0.12392499999999999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3149.3503999999998</v>
      </c>
      <c r="E56" s="25">
        <v>39.421399999999998</v>
      </c>
      <c r="F56" s="25">
        <v>41.952199999999998</v>
      </c>
      <c r="G56" s="25">
        <v>41.509</v>
      </c>
      <c r="H56" s="25">
        <v>385.54</v>
      </c>
      <c r="I56" s="25">
        <v>4.4400000000000004</v>
      </c>
      <c r="J56" s="26">
        <f t="shared" si="0"/>
        <v>0.10709444444444445</v>
      </c>
      <c r="L56" s="24">
        <v>3149.3503999999998</v>
      </c>
      <c r="M56" s="25">
        <v>39.421399999999998</v>
      </c>
      <c r="N56" s="25">
        <v>41.952199999999998</v>
      </c>
      <c r="O56" s="25">
        <v>41.509</v>
      </c>
      <c r="P56" s="25">
        <v>384.13</v>
      </c>
      <c r="Q56" s="25">
        <v>4.45</v>
      </c>
      <c r="R56" s="26">
        <f t="shared" si="1"/>
        <v>0.10670277777777777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1803.78</v>
      </c>
      <c r="E57" s="25">
        <v>35.979100000000003</v>
      </c>
      <c r="F57" s="25">
        <v>39.566299999999998</v>
      </c>
      <c r="G57" s="25">
        <v>38.906700000000001</v>
      </c>
      <c r="H57" s="25">
        <v>334.86</v>
      </c>
      <c r="I57" s="25">
        <v>3.8</v>
      </c>
      <c r="J57" s="26">
        <f t="shared" si="0"/>
        <v>9.3016666666666664E-2</v>
      </c>
      <c r="L57" s="24">
        <v>1803.78</v>
      </c>
      <c r="M57" s="25">
        <v>35.979100000000003</v>
      </c>
      <c r="N57" s="25">
        <v>39.566299999999998</v>
      </c>
      <c r="O57" s="25">
        <v>38.906700000000001</v>
      </c>
      <c r="P57" s="25">
        <v>334.38</v>
      </c>
      <c r="Q57" s="25">
        <v>3.77</v>
      </c>
      <c r="R57" s="26">
        <f t="shared" si="1"/>
        <v>9.2883333333333332E-2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1004.1</v>
      </c>
      <c r="E58" s="34">
        <v>32.792400000000001</v>
      </c>
      <c r="F58" s="34">
        <v>37.905299999999997</v>
      </c>
      <c r="G58" s="34">
        <v>37.065600000000003</v>
      </c>
      <c r="H58" s="34">
        <v>297.49</v>
      </c>
      <c r="I58" s="34">
        <v>3.2</v>
      </c>
      <c r="J58" s="35">
        <f t="shared" si="0"/>
        <v>8.2636111111111119E-2</v>
      </c>
      <c r="L58" s="33">
        <v>1004.1</v>
      </c>
      <c r="M58" s="34">
        <v>32.792400000000001</v>
      </c>
      <c r="N58" s="34">
        <v>37.905299999999997</v>
      </c>
      <c r="O58" s="34">
        <v>37.065600000000003</v>
      </c>
      <c r="P58" s="34">
        <v>296.05</v>
      </c>
      <c r="Q58" s="34">
        <v>3.26</v>
      </c>
      <c r="R58" s="35">
        <f t="shared" si="1"/>
        <v>8.2236111111111121E-2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12972.916800000001</v>
      </c>
      <c r="E59" s="15">
        <v>41.253599999999999</v>
      </c>
      <c r="F59" s="15">
        <v>43.278399999999998</v>
      </c>
      <c r="G59" s="15">
        <v>44.250599999999999</v>
      </c>
      <c r="H59" s="15">
        <v>642.16</v>
      </c>
      <c r="I59" s="15">
        <v>8.4</v>
      </c>
      <c r="J59" s="16">
        <f t="shared" si="0"/>
        <v>0.17837777777777777</v>
      </c>
      <c r="L59" s="14">
        <v>12972.916800000001</v>
      </c>
      <c r="M59" s="15">
        <v>41.253599999999999</v>
      </c>
      <c r="N59" s="15">
        <v>43.278399999999998</v>
      </c>
      <c r="O59" s="15">
        <v>44.250599999999999</v>
      </c>
      <c r="P59" s="15">
        <v>642.78</v>
      </c>
      <c r="Q59" s="15">
        <v>8.34</v>
      </c>
      <c r="R59" s="16">
        <f t="shared" si="1"/>
        <v>0.17854999999999999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8234.9087999999992</v>
      </c>
      <c r="E60" s="25">
        <v>36.811500000000002</v>
      </c>
      <c r="F60" s="25">
        <v>40.5946</v>
      </c>
      <c r="G60" s="25">
        <v>41.6051</v>
      </c>
      <c r="H60" s="25">
        <v>557.86</v>
      </c>
      <c r="I60" s="25">
        <v>7.01</v>
      </c>
      <c r="J60" s="26">
        <f t="shared" si="0"/>
        <v>0.15496111111111111</v>
      </c>
      <c r="L60" s="24">
        <v>8234.9087999999992</v>
      </c>
      <c r="M60" s="25">
        <v>36.811500000000002</v>
      </c>
      <c r="N60" s="25">
        <v>40.5946</v>
      </c>
      <c r="O60" s="25">
        <v>41.6051</v>
      </c>
      <c r="P60" s="25">
        <v>565.79</v>
      </c>
      <c r="Q60" s="25">
        <v>6.85</v>
      </c>
      <c r="R60" s="26">
        <f t="shared" si="1"/>
        <v>0.15716388888888888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5064.3280000000004</v>
      </c>
      <c r="E61" s="25">
        <v>32.980699999999999</v>
      </c>
      <c r="F61" s="25">
        <v>38.954799999999999</v>
      </c>
      <c r="G61" s="25">
        <v>39.797199999999997</v>
      </c>
      <c r="H61" s="25">
        <v>488.99</v>
      </c>
      <c r="I61" s="25">
        <v>5.82</v>
      </c>
      <c r="J61" s="26">
        <f t="shared" si="0"/>
        <v>0.13583055555555557</v>
      </c>
      <c r="L61" s="24">
        <v>5064.3280000000004</v>
      </c>
      <c r="M61" s="25">
        <v>32.980699999999999</v>
      </c>
      <c r="N61" s="25">
        <v>38.954799999999999</v>
      </c>
      <c r="O61" s="25">
        <v>39.797199999999997</v>
      </c>
      <c r="P61" s="25">
        <v>489.66</v>
      </c>
      <c r="Q61" s="25">
        <v>5.85</v>
      </c>
      <c r="R61" s="26">
        <f t="shared" si="1"/>
        <v>0.13601666666666667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3002.5608000000002</v>
      </c>
      <c r="E62" s="34">
        <v>29.4133</v>
      </c>
      <c r="F62" s="34">
        <v>37.879300000000001</v>
      </c>
      <c r="G62" s="34">
        <v>38.509099999999997</v>
      </c>
      <c r="H62" s="34">
        <v>422.46</v>
      </c>
      <c r="I62" s="34">
        <v>5.04</v>
      </c>
      <c r="J62" s="35">
        <f t="shared" si="0"/>
        <v>0.11735</v>
      </c>
      <c r="L62" s="33">
        <v>3002.5608000000002</v>
      </c>
      <c r="M62" s="34">
        <v>29.4133</v>
      </c>
      <c r="N62" s="34">
        <v>37.879300000000001</v>
      </c>
      <c r="O62" s="34">
        <v>38.509099999999997</v>
      </c>
      <c r="P62" s="34">
        <v>422.73</v>
      </c>
      <c r="Q62" s="34">
        <v>4.99</v>
      </c>
      <c r="R62" s="35">
        <f t="shared" si="1"/>
        <v>0.117425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11416.221600000001</v>
      </c>
      <c r="E63" s="15">
        <v>41.066600000000001</v>
      </c>
      <c r="F63" s="15">
        <v>42.172600000000003</v>
      </c>
      <c r="G63" s="15">
        <v>42.880699999999997</v>
      </c>
      <c r="H63" s="15">
        <v>563.03</v>
      </c>
      <c r="I63" s="15">
        <v>7.6</v>
      </c>
      <c r="J63" s="16">
        <f t="shared" si="0"/>
        <v>0.15639722222222222</v>
      </c>
      <c r="L63" s="14">
        <v>11416.221600000001</v>
      </c>
      <c r="M63" s="15">
        <v>41.066600000000001</v>
      </c>
      <c r="N63" s="15">
        <v>42.172600000000003</v>
      </c>
      <c r="O63" s="15">
        <v>42.880699999999997</v>
      </c>
      <c r="P63" s="15">
        <v>563.72</v>
      </c>
      <c r="Q63" s="15">
        <v>7.58</v>
      </c>
      <c r="R63" s="16">
        <f t="shared" si="1"/>
        <v>0.15658888888888889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7048.0983999999999</v>
      </c>
      <c r="E64" s="25">
        <v>36.7258</v>
      </c>
      <c r="F64" s="25">
        <v>38.939599999999999</v>
      </c>
      <c r="G64" s="25">
        <v>39.439300000000003</v>
      </c>
      <c r="H64" s="25">
        <v>491.63</v>
      </c>
      <c r="I64" s="25">
        <v>6.34</v>
      </c>
      <c r="J64" s="26">
        <f t="shared" si="0"/>
        <v>0.1365638888888889</v>
      </c>
      <c r="L64" s="24">
        <v>7048.0983999999999</v>
      </c>
      <c r="M64" s="25">
        <v>36.7258</v>
      </c>
      <c r="N64" s="25">
        <v>38.939599999999999</v>
      </c>
      <c r="O64" s="25">
        <v>39.439300000000003</v>
      </c>
      <c r="P64" s="25">
        <v>491.54</v>
      </c>
      <c r="Q64" s="25">
        <v>6.33</v>
      </c>
      <c r="R64" s="26">
        <f t="shared" si="1"/>
        <v>0.1365388888888889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4011.1727999999998</v>
      </c>
      <c r="E65" s="25">
        <v>32.7346</v>
      </c>
      <c r="F65" s="25">
        <v>36.626899999999999</v>
      </c>
      <c r="G65" s="25">
        <v>37.052</v>
      </c>
      <c r="H65" s="25">
        <v>418.04</v>
      </c>
      <c r="I65" s="25">
        <v>5.24</v>
      </c>
      <c r="J65" s="26">
        <f t="shared" si="0"/>
        <v>0.11612222222222222</v>
      </c>
      <c r="L65" s="24">
        <v>4011.1727999999998</v>
      </c>
      <c r="M65" s="25">
        <v>32.7346</v>
      </c>
      <c r="N65" s="25">
        <v>36.626899999999999</v>
      </c>
      <c r="O65" s="25">
        <v>37.052</v>
      </c>
      <c r="P65" s="25">
        <v>416.77</v>
      </c>
      <c r="Q65" s="25">
        <v>5.2</v>
      </c>
      <c r="R65" s="26">
        <f t="shared" si="1"/>
        <v>0.11576944444444444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2062.6376</v>
      </c>
      <c r="E66" s="34">
        <v>29.185300000000002</v>
      </c>
      <c r="F66" s="34">
        <v>35.071599999999997</v>
      </c>
      <c r="G66" s="34">
        <v>35.491700000000002</v>
      </c>
      <c r="H66" s="34">
        <v>351.83</v>
      </c>
      <c r="I66" s="34">
        <v>4.1900000000000004</v>
      </c>
      <c r="J66" s="35">
        <f t="shared" si="0"/>
        <v>9.7730555555555557E-2</v>
      </c>
      <c r="L66" s="33">
        <v>2062.6376</v>
      </c>
      <c r="M66" s="34">
        <v>29.185300000000002</v>
      </c>
      <c r="N66" s="34">
        <v>35.071599999999997</v>
      </c>
      <c r="O66" s="34">
        <v>35.491700000000002</v>
      </c>
      <c r="P66" s="34">
        <v>352.87</v>
      </c>
      <c r="Q66" s="34">
        <v>4.1900000000000004</v>
      </c>
      <c r="R66" s="35">
        <f t="shared" si="1"/>
        <v>9.8019444444444451E-2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4441.2583999999997</v>
      </c>
      <c r="E67" s="15">
        <v>42.514000000000003</v>
      </c>
      <c r="F67" s="15">
        <v>43.102699999999999</v>
      </c>
      <c r="G67" s="15">
        <v>43.985799999999998</v>
      </c>
      <c r="H67" s="15">
        <v>291.86</v>
      </c>
      <c r="I67" s="15">
        <v>3.51</v>
      </c>
      <c r="J67" s="16">
        <f t="shared" si="0"/>
        <v>8.1072222222222226E-2</v>
      </c>
      <c r="L67" s="14">
        <v>4441.2583999999997</v>
      </c>
      <c r="M67" s="15">
        <v>42.514000000000003</v>
      </c>
      <c r="N67" s="15">
        <v>43.102699999999999</v>
      </c>
      <c r="O67" s="15">
        <v>43.985799999999998</v>
      </c>
      <c r="P67" s="15">
        <v>291.11</v>
      </c>
      <c r="Q67" s="15">
        <v>3.51</v>
      </c>
      <c r="R67" s="16">
        <f t="shared" si="1"/>
        <v>8.0863888888888888E-2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2672.7568000000001</v>
      </c>
      <c r="E68" s="25">
        <v>38.429000000000002</v>
      </c>
      <c r="F68" s="25">
        <v>39.6203</v>
      </c>
      <c r="G68" s="25">
        <v>40.896700000000003</v>
      </c>
      <c r="H68" s="25">
        <v>252.31</v>
      </c>
      <c r="I68" s="25">
        <v>3</v>
      </c>
      <c r="J68" s="26">
        <f t="shared" ref="J68:J98" si="2">secToHours(H68)</f>
        <v>7.0086111111111113E-2</v>
      </c>
      <c r="L68" s="24">
        <v>2672.7568000000001</v>
      </c>
      <c r="M68" s="25">
        <v>38.429000000000002</v>
      </c>
      <c r="N68" s="25">
        <v>39.6203</v>
      </c>
      <c r="O68" s="25">
        <v>40.896700000000003</v>
      </c>
      <c r="P68" s="25">
        <v>253.19</v>
      </c>
      <c r="Q68" s="25">
        <v>2.94</v>
      </c>
      <c r="R68" s="26">
        <f t="shared" ref="R68:R98" si="3">secToHours(P68)</f>
        <v>7.0330555555555549E-2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1468.4623999999999</v>
      </c>
      <c r="E69" s="25">
        <v>34.567999999999998</v>
      </c>
      <c r="F69" s="25">
        <v>37.327100000000002</v>
      </c>
      <c r="G69" s="25">
        <v>38.557600000000001</v>
      </c>
      <c r="H69" s="25">
        <v>217.75</v>
      </c>
      <c r="I69" s="25">
        <v>2.52</v>
      </c>
      <c r="J69" s="26">
        <f t="shared" si="2"/>
        <v>6.0486111111111109E-2</v>
      </c>
      <c r="L69" s="24">
        <v>1468.4623999999999</v>
      </c>
      <c r="M69" s="25">
        <v>34.567999999999998</v>
      </c>
      <c r="N69" s="25">
        <v>37.327100000000002</v>
      </c>
      <c r="O69" s="25">
        <v>38.557600000000001</v>
      </c>
      <c r="P69" s="25">
        <v>217.85</v>
      </c>
      <c r="Q69" s="25">
        <v>2.5299999999999998</v>
      </c>
      <c r="R69" s="26">
        <f t="shared" si="3"/>
        <v>6.0513888888888888E-2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740.02639999999997</v>
      </c>
      <c r="E70" s="34">
        <v>31.267600000000002</v>
      </c>
      <c r="F70" s="34">
        <v>35.751600000000003</v>
      </c>
      <c r="G70" s="34">
        <v>36.851399999999998</v>
      </c>
      <c r="H70" s="34">
        <v>187.9</v>
      </c>
      <c r="I70" s="34">
        <v>2.1</v>
      </c>
      <c r="J70" s="35">
        <f t="shared" si="2"/>
        <v>5.2194444444444446E-2</v>
      </c>
      <c r="L70" s="33">
        <v>740.02639999999997</v>
      </c>
      <c r="M70" s="34">
        <v>31.267600000000002</v>
      </c>
      <c r="N70" s="34">
        <v>35.751600000000003</v>
      </c>
      <c r="O70" s="34">
        <v>36.851399999999998</v>
      </c>
      <c r="P70" s="34">
        <v>187.41</v>
      </c>
      <c r="Q70" s="34">
        <v>2.11</v>
      </c>
      <c r="R70" s="35">
        <f t="shared" si="3"/>
        <v>5.2058333333333331E-2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29858.5448</v>
      </c>
      <c r="E71" s="15">
        <v>43.924999999999997</v>
      </c>
      <c r="F71" s="15">
        <v>46.957900000000002</v>
      </c>
      <c r="G71" s="15">
        <v>48.098700000000001</v>
      </c>
      <c r="H71" s="15">
        <v>4151.78</v>
      </c>
      <c r="I71" s="15">
        <v>45.09</v>
      </c>
      <c r="J71" s="16">
        <f t="shared" si="2"/>
        <v>1.1532722222222223</v>
      </c>
      <c r="L71" s="14">
        <v>29858.5448</v>
      </c>
      <c r="M71" s="15">
        <v>43.924999999999997</v>
      </c>
      <c r="N71" s="15">
        <v>46.957900000000002</v>
      </c>
      <c r="O71" s="15">
        <v>48.098700000000001</v>
      </c>
      <c r="P71" s="15">
        <v>4141.6099999999997</v>
      </c>
      <c r="Q71" s="15">
        <v>45.64</v>
      </c>
      <c r="R71" s="16">
        <f t="shared" si="3"/>
        <v>1.1504472222222222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18384.3488</v>
      </c>
      <c r="E72" s="25">
        <v>41.301000000000002</v>
      </c>
      <c r="F72" s="25">
        <v>44.511899999999997</v>
      </c>
      <c r="G72" s="25">
        <v>45.752699999999997</v>
      </c>
      <c r="H72" s="25">
        <v>3679.83</v>
      </c>
      <c r="I72" s="25">
        <v>39.6</v>
      </c>
      <c r="J72" s="26">
        <f t="shared" si="2"/>
        <v>1.0221750000000001</v>
      </c>
      <c r="L72" s="24">
        <v>18384.3488</v>
      </c>
      <c r="M72" s="25">
        <v>41.301000000000002</v>
      </c>
      <c r="N72" s="25">
        <v>44.511899999999997</v>
      </c>
      <c r="O72" s="25">
        <v>45.752699999999997</v>
      </c>
      <c r="P72" s="25">
        <v>3730.01</v>
      </c>
      <c r="Q72" s="25">
        <v>40.159999999999997</v>
      </c>
      <c r="R72" s="26">
        <f t="shared" si="3"/>
        <v>1.036113888888889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11323.046399999999</v>
      </c>
      <c r="E73" s="25">
        <v>38.373199999999997</v>
      </c>
      <c r="F73" s="25">
        <v>42.482100000000003</v>
      </c>
      <c r="G73" s="25">
        <v>43.694200000000002</v>
      </c>
      <c r="H73" s="25">
        <v>3385.43</v>
      </c>
      <c r="I73" s="25">
        <v>35.72</v>
      </c>
      <c r="J73" s="26">
        <f t="shared" si="2"/>
        <v>0.94039722222222222</v>
      </c>
      <c r="L73" s="24">
        <v>11323.046399999999</v>
      </c>
      <c r="M73" s="25">
        <v>38.373199999999997</v>
      </c>
      <c r="N73" s="25">
        <v>42.482100000000003</v>
      </c>
      <c r="O73" s="25">
        <v>43.694200000000002</v>
      </c>
      <c r="P73" s="25">
        <v>3381.96</v>
      </c>
      <c r="Q73" s="25">
        <v>35.97</v>
      </c>
      <c r="R73" s="26">
        <f t="shared" si="3"/>
        <v>0.93943333333333334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6881.1632</v>
      </c>
      <c r="E74" s="34">
        <v>35.2378</v>
      </c>
      <c r="F74" s="34">
        <v>41.102699999999999</v>
      </c>
      <c r="G74" s="34">
        <v>42.207299999999996</v>
      </c>
      <c r="H74" s="34">
        <v>3144.42</v>
      </c>
      <c r="I74" s="34">
        <v>31.08</v>
      </c>
      <c r="J74" s="35">
        <f t="shared" si="2"/>
        <v>0.87345000000000006</v>
      </c>
      <c r="L74" s="33">
        <v>6881.1632</v>
      </c>
      <c r="M74" s="34">
        <v>35.2378</v>
      </c>
      <c r="N74" s="34">
        <v>41.102699999999999</v>
      </c>
      <c r="O74" s="34">
        <v>42.207299999999996</v>
      </c>
      <c r="P74" s="34">
        <v>3132.94</v>
      </c>
      <c r="Q74" s="34">
        <v>31.57</v>
      </c>
      <c r="R74" s="35">
        <f t="shared" si="3"/>
        <v>0.87026111111111115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19795.944</v>
      </c>
      <c r="E75" s="15">
        <v>44.164499999999997</v>
      </c>
      <c r="F75" s="15">
        <v>48.323599999999999</v>
      </c>
      <c r="G75" s="15">
        <v>48.953499999999998</v>
      </c>
      <c r="H75" s="15">
        <v>3797.19</v>
      </c>
      <c r="I75" s="15">
        <v>36.21</v>
      </c>
      <c r="J75" s="16">
        <f t="shared" si="2"/>
        <v>1.054775</v>
      </c>
      <c r="L75" s="14">
        <v>19795.944</v>
      </c>
      <c r="M75" s="15">
        <v>44.164499999999997</v>
      </c>
      <c r="N75" s="15">
        <v>48.323599999999999</v>
      </c>
      <c r="O75" s="15">
        <v>48.953499999999998</v>
      </c>
      <c r="P75" s="15">
        <v>3812.71</v>
      </c>
      <c r="Q75" s="15">
        <v>36.51</v>
      </c>
      <c r="R75" s="16">
        <f t="shared" si="3"/>
        <v>1.0590861111111112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11107.4624</v>
      </c>
      <c r="E76" s="25">
        <v>41.924500000000002</v>
      </c>
      <c r="F76" s="25">
        <v>46.226599999999998</v>
      </c>
      <c r="G76" s="25">
        <v>46.8249</v>
      </c>
      <c r="H76" s="25">
        <v>3372.06</v>
      </c>
      <c r="I76" s="25">
        <v>31.98</v>
      </c>
      <c r="J76" s="26">
        <f t="shared" si="2"/>
        <v>0.93668333333333331</v>
      </c>
      <c r="L76" s="24">
        <v>11107.4624</v>
      </c>
      <c r="M76" s="25">
        <v>41.924500000000002</v>
      </c>
      <c r="N76" s="25">
        <v>46.226599999999998</v>
      </c>
      <c r="O76" s="25">
        <v>46.8249</v>
      </c>
      <c r="P76" s="25">
        <v>3369.12</v>
      </c>
      <c r="Q76" s="25">
        <v>31.96</v>
      </c>
      <c r="R76" s="26">
        <f t="shared" si="3"/>
        <v>0.93586666666666662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6357.5608000000002</v>
      </c>
      <c r="E77" s="25">
        <v>39.522300000000001</v>
      </c>
      <c r="F77" s="25">
        <v>44.307899999999997</v>
      </c>
      <c r="G77" s="25">
        <v>44.883899999999997</v>
      </c>
      <c r="H77" s="25">
        <v>3087.55</v>
      </c>
      <c r="I77" s="25">
        <v>28.98</v>
      </c>
      <c r="J77" s="26">
        <f t="shared" si="2"/>
        <v>0.85765277777777782</v>
      </c>
      <c r="L77" s="24">
        <v>6357.5608000000002</v>
      </c>
      <c r="M77" s="25">
        <v>39.522300000000001</v>
      </c>
      <c r="N77" s="25">
        <v>44.307899999999997</v>
      </c>
      <c r="O77" s="25">
        <v>44.883899999999997</v>
      </c>
      <c r="P77" s="25">
        <v>3089.39</v>
      </c>
      <c r="Q77" s="25">
        <v>28.51</v>
      </c>
      <c r="R77" s="26">
        <f t="shared" si="3"/>
        <v>0.85816388888888884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3663.3184000000001</v>
      </c>
      <c r="E78" s="34">
        <v>36.884700000000002</v>
      </c>
      <c r="F78" s="34">
        <v>42.7881</v>
      </c>
      <c r="G78" s="34">
        <v>43.252000000000002</v>
      </c>
      <c r="H78" s="34">
        <v>2925.8</v>
      </c>
      <c r="I78" s="34">
        <v>25.46</v>
      </c>
      <c r="J78" s="35">
        <f t="shared" si="2"/>
        <v>0.81272222222222223</v>
      </c>
      <c r="L78" s="33">
        <v>3663.3184000000001</v>
      </c>
      <c r="M78" s="34">
        <v>36.884700000000002</v>
      </c>
      <c r="N78" s="34">
        <v>42.7881</v>
      </c>
      <c r="O78" s="34">
        <v>43.252000000000002</v>
      </c>
      <c r="P78" s="34">
        <v>2919.18</v>
      </c>
      <c r="Q78" s="34">
        <v>25.47</v>
      </c>
      <c r="R78" s="35">
        <f t="shared" si="3"/>
        <v>0.81088333333333329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21821.8128</v>
      </c>
      <c r="E79" s="15">
        <v>44.555</v>
      </c>
      <c r="F79" s="15">
        <v>47.705100000000002</v>
      </c>
      <c r="G79" s="15">
        <v>48.572000000000003</v>
      </c>
      <c r="H79" s="15">
        <v>3818.81</v>
      </c>
      <c r="I79" s="15">
        <v>38.33</v>
      </c>
      <c r="J79" s="16">
        <f t="shared" si="2"/>
        <v>1.0607805555555556</v>
      </c>
      <c r="L79" s="14">
        <v>21821.8128</v>
      </c>
      <c r="M79" s="15">
        <v>44.555</v>
      </c>
      <c r="N79" s="15">
        <v>47.705100000000002</v>
      </c>
      <c r="O79" s="15">
        <v>48.572000000000003</v>
      </c>
      <c r="P79" s="15">
        <v>3807.48</v>
      </c>
      <c r="Q79" s="15">
        <v>38.409999999999997</v>
      </c>
      <c r="R79" s="16">
        <f t="shared" si="3"/>
        <v>1.0576333333333334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13130.7256</v>
      </c>
      <c r="E80" s="25">
        <v>42.189500000000002</v>
      </c>
      <c r="F80" s="25">
        <v>45.468299999999999</v>
      </c>
      <c r="G80" s="25">
        <v>46.370699999999999</v>
      </c>
      <c r="H80" s="25">
        <v>3406.91</v>
      </c>
      <c r="I80" s="25">
        <v>33.35</v>
      </c>
      <c r="J80" s="26">
        <f t="shared" si="2"/>
        <v>0.94636388888888889</v>
      </c>
      <c r="L80" s="24">
        <v>13130.7256</v>
      </c>
      <c r="M80" s="25">
        <v>42.189500000000002</v>
      </c>
      <c r="N80" s="25">
        <v>45.468299999999999</v>
      </c>
      <c r="O80" s="25">
        <v>46.370699999999999</v>
      </c>
      <c r="P80" s="25">
        <v>3402.96</v>
      </c>
      <c r="Q80" s="25">
        <v>33.89</v>
      </c>
      <c r="R80" s="26">
        <f t="shared" si="3"/>
        <v>0.9452666666666667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7962.9111999999996</v>
      </c>
      <c r="E81" s="25">
        <v>39.489899999999999</v>
      </c>
      <c r="F81" s="25">
        <v>43.471400000000003</v>
      </c>
      <c r="G81" s="25">
        <v>44.432400000000001</v>
      </c>
      <c r="H81" s="25">
        <v>3214.49</v>
      </c>
      <c r="I81" s="25">
        <v>30.11</v>
      </c>
      <c r="J81" s="26">
        <f t="shared" si="2"/>
        <v>0.89291388888888878</v>
      </c>
      <c r="L81" s="24">
        <v>7962.9111999999996</v>
      </c>
      <c r="M81" s="25">
        <v>39.489899999999999</v>
      </c>
      <c r="N81" s="25">
        <v>43.471400000000003</v>
      </c>
      <c r="O81" s="25">
        <v>44.432400000000001</v>
      </c>
      <c r="P81" s="25">
        <v>3178.82</v>
      </c>
      <c r="Q81" s="25">
        <v>31.09</v>
      </c>
      <c r="R81" s="26">
        <f t="shared" si="3"/>
        <v>0.8830055555555556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4819.3696</v>
      </c>
      <c r="E82" s="34">
        <v>36.552999999999997</v>
      </c>
      <c r="F82" s="34">
        <v>42.010300000000001</v>
      </c>
      <c r="G82" s="34">
        <v>42.912500000000001</v>
      </c>
      <c r="H82" s="34">
        <v>3028.43</v>
      </c>
      <c r="I82" s="34">
        <v>27.21</v>
      </c>
      <c r="J82" s="35">
        <f t="shared" si="2"/>
        <v>0.84123055555555548</v>
      </c>
      <c r="L82" s="33">
        <v>4819.3696</v>
      </c>
      <c r="M82" s="34">
        <v>36.552999999999997</v>
      </c>
      <c r="N82" s="34">
        <v>42.010300000000001</v>
      </c>
      <c r="O82" s="34">
        <v>42.912500000000001</v>
      </c>
      <c r="P82" s="34">
        <v>3003.89</v>
      </c>
      <c r="Q82" s="34">
        <v>27.24</v>
      </c>
      <c r="R82" s="35">
        <f t="shared" si="3"/>
        <v>0.8344138888888889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22599.092000000001</v>
      </c>
      <c r="E83" s="15">
        <v>42.033299999999997</v>
      </c>
      <c r="F83" s="15">
        <v>43.830300000000001</v>
      </c>
      <c r="G83" s="15">
        <v>44.429400000000001</v>
      </c>
      <c r="H83" s="15">
        <v>1892.08</v>
      </c>
      <c r="I83" s="15">
        <v>23.27</v>
      </c>
      <c r="J83" s="16">
        <f t="shared" si="2"/>
        <v>0.52557777777777781</v>
      </c>
      <c r="L83" s="14">
        <v>22599.092000000001</v>
      </c>
      <c r="M83" s="15">
        <v>42.033299999999997</v>
      </c>
      <c r="N83" s="15">
        <v>43.830300000000001</v>
      </c>
      <c r="O83" s="15">
        <v>44.429400000000001</v>
      </c>
      <c r="P83" s="15">
        <v>1871.79</v>
      </c>
      <c r="Q83" s="15">
        <v>23.03</v>
      </c>
      <c r="R83" s="16">
        <f t="shared" si="3"/>
        <v>0.51994166666666664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13088.4784</v>
      </c>
      <c r="E84" s="25">
        <v>38.536499999999997</v>
      </c>
      <c r="F84" s="25">
        <v>40.682699999999997</v>
      </c>
      <c r="G84" s="25">
        <v>40.956499999999998</v>
      </c>
      <c r="H84" s="25">
        <v>1592.45</v>
      </c>
      <c r="I84" s="25">
        <v>18.920000000000002</v>
      </c>
      <c r="J84" s="26">
        <f t="shared" si="2"/>
        <v>0.44234722222222222</v>
      </c>
      <c r="L84" s="24">
        <v>13088.4784</v>
      </c>
      <c r="M84" s="25">
        <v>38.536499999999997</v>
      </c>
      <c r="N84" s="25">
        <v>40.682699999999997</v>
      </c>
      <c r="O84" s="25">
        <v>40.956499999999998</v>
      </c>
      <c r="P84" s="25">
        <v>1598.99</v>
      </c>
      <c r="Q84" s="25">
        <v>18.72</v>
      </c>
      <c r="R84" s="26">
        <f t="shared" si="3"/>
        <v>0.44416388888888891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7539.4776000000002</v>
      </c>
      <c r="E85" s="25">
        <v>35.402000000000001</v>
      </c>
      <c r="F85" s="25">
        <v>38.107300000000002</v>
      </c>
      <c r="G85" s="25">
        <v>38.178400000000003</v>
      </c>
      <c r="H85" s="25">
        <v>1376.76</v>
      </c>
      <c r="I85" s="25">
        <v>15.29</v>
      </c>
      <c r="J85" s="26">
        <f t="shared" si="2"/>
        <v>0.38243333333333335</v>
      </c>
      <c r="L85" s="24">
        <v>7539.4776000000002</v>
      </c>
      <c r="M85" s="25">
        <v>35.402000000000001</v>
      </c>
      <c r="N85" s="25">
        <v>38.107300000000002</v>
      </c>
      <c r="O85" s="25">
        <v>38.178400000000003</v>
      </c>
      <c r="P85" s="25">
        <v>1390.99</v>
      </c>
      <c r="Q85" s="25">
        <v>15.5</v>
      </c>
      <c r="R85" s="26">
        <f t="shared" si="3"/>
        <v>0.3863861111111111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4405.5295999999998</v>
      </c>
      <c r="E86" s="34">
        <v>32.457099999999997</v>
      </c>
      <c r="F86" s="34">
        <v>36.177300000000002</v>
      </c>
      <c r="G86" s="34">
        <v>36.140500000000003</v>
      </c>
      <c r="H86" s="34">
        <v>1239.96</v>
      </c>
      <c r="I86" s="34">
        <v>13.21</v>
      </c>
      <c r="J86" s="35">
        <f t="shared" si="2"/>
        <v>0.34443333333333337</v>
      </c>
      <c r="L86" s="33">
        <v>4405.5295999999998</v>
      </c>
      <c r="M86" s="34">
        <v>32.457099999999997</v>
      </c>
      <c r="N86" s="34">
        <v>36.177300000000002</v>
      </c>
      <c r="O86" s="34">
        <v>36.140500000000003</v>
      </c>
      <c r="P86" s="34">
        <v>1234.8599999999999</v>
      </c>
      <c r="Q86" s="34">
        <v>13.21</v>
      </c>
      <c r="R86" s="35">
        <f t="shared" si="3"/>
        <v>0.34301666666666664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22662.7762</v>
      </c>
      <c r="E87" s="15">
        <v>45.029400000000003</v>
      </c>
      <c r="F87" s="15">
        <v>46.7149</v>
      </c>
      <c r="G87" s="15">
        <v>47.1068</v>
      </c>
      <c r="H87" s="15">
        <v>3300.19</v>
      </c>
      <c r="I87" s="15">
        <v>37.22</v>
      </c>
      <c r="J87" s="16">
        <f t="shared" si="2"/>
        <v>0.91671944444444442</v>
      </c>
      <c r="L87" s="14">
        <v>22662.7762</v>
      </c>
      <c r="M87" s="15">
        <v>45.029400000000003</v>
      </c>
      <c r="N87" s="15">
        <v>46.7149</v>
      </c>
      <c r="O87" s="15">
        <v>47.1068</v>
      </c>
      <c r="P87" s="15">
        <v>3312.47</v>
      </c>
      <c r="Q87" s="15">
        <v>36.97</v>
      </c>
      <c r="R87" s="16">
        <f t="shared" si="3"/>
        <v>0.92013055555555545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15112.878199999999</v>
      </c>
      <c r="E88" s="25">
        <v>41.0122</v>
      </c>
      <c r="F88" s="25">
        <v>43.235900000000001</v>
      </c>
      <c r="G88" s="25">
        <v>43.516800000000003</v>
      </c>
      <c r="H88" s="25">
        <v>2988.54</v>
      </c>
      <c r="I88" s="25">
        <v>32.76</v>
      </c>
      <c r="J88" s="26">
        <f t="shared" si="2"/>
        <v>0.83014999999999994</v>
      </c>
      <c r="L88" s="24">
        <v>15112.878199999999</v>
      </c>
      <c r="M88" s="25">
        <v>41.0122</v>
      </c>
      <c r="N88" s="25">
        <v>43.235900000000001</v>
      </c>
      <c r="O88" s="25">
        <v>43.516800000000003</v>
      </c>
      <c r="P88" s="25">
        <v>2987.59</v>
      </c>
      <c r="Q88" s="25">
        <v>32.44</v>
      </c>
      <c r="R88" s="26">
        <f t="shared" si="3"/>
        <v>0.8298861111111111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9838.8629000000001</v>
      </c>
      <c r="E89" s="25">
        <v>37.196599999999997</v>
      </c>
      <c r="F89" s="25">
        <v>40.6297</v>
      </c>
      <c r="G89" s="25">
        <v>40.637500000000003</v>
      </c>
      <c r="H89" s="25">
        <v>2694.23</v>
      </c>
      <c r="I89" s="25">
        <v>28.69</v>
      </c>
      <c r="J89" s="26">
        <f t="shared" si="2"/>
        <v>0.74839722222222227</v>
      </c>
      <c r="L89" s="24">
        <v>9838.8629000000001</v>
      </c>
      <c r="M89" s="25">
        <v>37.196599999999997</v>
      </c>
      <c r="N89" s="25">
        <v>40.6297</v>
      </c>
      <c r="O89" s="25">
        <v>40.637500000000003</v>
      </c>
      <c r="P89" s="25">
        <v>2736.47</v>
      </c>
      <c r="Q89" s="25">
        <v>28.28</v>
      </c>
      <c r="R89" s="26">
        <f t="shared" si="3"/>
        <v>0.76013055555555553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6400.6157000000003</v>
      </c>
      <c r="E90" s="34">
        <v>33.557600000000001</v>
      </c>
      <c r="F90" s="34">
        <v>38.897599999999997</v>
      </c>
      <c r="G90" s="34">
        <v>38.717100000000002</v>
      </c>
      <c r="H90" s="34">
        <v>2471.13</v>
      </c>
      <c r="I90" s="34">
        <v>25.59</v>
      </c>
      <c r="J90" s="35">
        <f t="shared" si="2"/>
        <v>0.68642500000000006</v>
      </c>
      <c r="L90" s="33">
        <v>6400.6157000000003</v>
      </c>
      <c r="M90" s="34">
        <v>33.557600000000001</v>
      </c>
      <c r="N90" s="34">
        <v>38.897599999999997</v>
      </c>
      <c r="O90" s="34">
        <v>38.717100000000002</v>
      </c>
      <c r="P90" s="34">
        <v>2465.9699999999998</v>
      </c>
      <c r="Q90" s="34">
        <v>25.61</v>
      </c>
      <c r="R90" s="35">
        <f t="shared" si="3"/>
        <v>0.68499166666666667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33358.090400000001</v>
      </c>
      <c r="E91" s="15">
        <v>46.714300000000001</v>
      </c>
      <c r="F91" s="15">
        <v>45.568399999999997</v>
      </c>
      <c r="G91" s="15">
        <v>45.647199999999998</v>
      </c>
      <c r="H91" s="15">
        <v>2471.77</v>
      </c>
      <c r="I91" s="15">
        <v>27.09</v>
      </c>
      <c r="J91" s="16">
        <f t="shared" si="2"/>
        <v>0.68660277777777778</v>
      </c>
      <c r="L91" s="14">
        <v>33358.090400000001</v>
      </c>
      <c r="M91" s="15">
        <v>46.714300000000001</v>
      </c>
      <c r="N91" s="15">
        <v>45.568399999999997</v>
      </c>
      <c r="O91" s="15">
        <v>45.647199999999998</v>
      </c>
      <c r="P91" s="15">
        <v>2472.48</v>
      </c>
      <c r="Q91" s="15">
        <v>26.93</v>
      </c>
      <c r="R91" s="16">
        <f t="shared" si="3"/>
        <v>0.68679999999999997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24916.887200000001</v>
      </c>
      <c r="E92" s="25">
        <v>42.2742</v>
      </c>
      <c r="F92" s="25">
        <v>41.052500000000002</v>
      </c>
      <c r="G92" s="25">
        <v>41.27</v>
      </c>
      <c r="H92" s="25">
        <v>2336.21</v>
      </c>
      <c r="I92" s="25">
        <v>24.67</v>
      </c>
      <c r="J92" s="26">
        <f t="shared" si="2"/>
        <v>0.64894722222222223</v>
      </c>
      <c r="L92" s="24">
        <v>24916.887200000001</v>
      </c>
      <c r="M92" s="25">
        <v>42.2742</v>
      </c>
      <c r="N92" s="25">
        <v>41.052500000000002</v>
      </c>
      <c r="O92" s="25">
        <v>41.27</v>
      </c>
      <c r="P92" s="25">
        <v>2323.37</v>
      </c>
      <c r="Q92" s="25">
        <v>24.56</v>
      </c>
      <c r="R92" s="26">
        <f t="shared" si="3"/>
        <v>0.64538055555555551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18990.589599999999</v>
      </c>
      <c r="E93" s="25">
        <v>37.6967</v>
      </c>
      <c r="F93" s="25">
        <v>38.789400000000001</v>
      </c>
      <c r="G93" s="25">
        <v>38.909700000000001</v>
      </c>
      <c r="H93" s="25">
        <v>2177.91</v>
      </c>
      <c r="I93" s="25">
        <v>23.02</v>
      </c>
      <c r="J93" s="26">
        <f t="shared" si="2"/>
        <v>0.60497499999999993</v>
      </c>
      <c r="L93" s="24">
        <v>18990.589599999999</v>
      </c>
      <c r="M93" s="25">
        <v>37.6967</v>
      </c>
      <c r="N93" s="25">
        <v>38.789400000000001</v>
      </c>
      <c r="O93" s="25">
        <v>38.909700000000001</v>
      </c>
      <c r="P93" s="25">
        <v>2183.15</v>
      </c>
      <c r="Q93" s="25">
        <v>22.69</v>
      </c>
      <c r="R93" s="26">
        <f t="shared" si="3"/>
        <v>0.60643055555555558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14185.796</v>
      </c>
      <c r="E94" s="34">
        <v>32.854999999999997</v>
      </c>
      <c r="F94" s="34">
        <v>37.6616</v>
      </c>
      <c r="G94" s="34">
        <v>37.192500000000003</v>
      </c>
      <c r="H94" s="34">
        <v>2014.49</v>
      </c>
      <c r="I94" s="34">
        <v>21.23</v>
      </c>
      <c r="J94" s="35">
        <f t="shared" si="2"/>
        <v>0.55958055555555553</v>
      </c>
      <c r="L94" s="33">
        <v>14185.796</v>
      </c>
      <c r="M94" s="34">
        <v>32.854999999999997</v>
      </c>
      <c r="N94" s="34">
        <v>37.6616</v>
      </c>
      <c r="O94" s="34">
        <v>37.192500000000003</v>
      </c>
      <c r="P94" s="34">
        <v>2028.57</v>
      </c>
      <c r="Q94" s="34">
        <v>21.26</v>
      </c>
      <c r="R94" s="35">
        <f t="shared" si="3"/>
        <v>0.56349166666666661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5156.9817999999996</v>
      </c>
      <c r="E95" s="15">
        <v>50.820300000000003</v>
      </c>
      <c r="F95" s="15">
        <v>53.053800000000003</v>
      </c>
      <c r="G95" s="15">
        <v>54.050400000000003</v>
      </c>
      <c r="H95" s="15">
        <v>2721.25</v>
      </c>
      <c r="I95" s="15">
        <v>23.89</v>
      </c>
      <c r="J95" s="16">
        <f t="shared" si="2"/>
        <v>0.75590277777777781</v>
      </c>
      <c r="L95" s="14">
        <v>5156.9817999999996</v>
      </c>
      <c r="M95" s="15">
        <v>50.820300000000003</v>
      </c>
      <c r="N95" s="15">
        <v>53.053800000000003</v>
      </c>
      <c r="O95" s="15">
        <v>54.050400000000003</v>
      </c>
      <c r="P95" s="15">
        <v>2713.6</v>
      </c>
      <c r="Q95" s="15">
        <v>23.88</v>
      </c>
      <c r="R95" s="16">
        <f t="shared" si="3"/>
        <v>0.75377777777777777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3508.2649999999999</v>
      </c>
      <c r="E96" s="25">
        <v>47.064599999999999</v>
      </c>
      <c r="F96" s="25">
        <v>49.551099999999998</v>
      </c>
      <c r="G96" s="25">
        <v>50.573900000000002</v>
      </c>
      <c r="H96" s="25">
        <v>2598.9299999999998</v>
      </c>
      <c r="I96" s="25">
        <v>22.86</v>
      </c>
      <c r="J96" s="26">
        <f t="shared" si="2"/>
        <v>0.72192499999999993</v>
      </c>
      <c r="L96" s="24">
        <v>3508.2649999999999</v>
      </c>
      <c r="M96" s="25">
        <v>47.064599999999999</v>
      </c>
      <c r="N96" s="25">
        <v>49.551099999999998</v>
      </c>
      <c r="O96" s="25">
        <v>50.573900000000002</v>
      </c>
      <c r="P96" s="25">
        <v>2645.18</v>
      </c>
      <c r="Q96" s="25">
        <v>22.58</v>
      </c>
      <c r="R96" s="26">
        <f t="shared" si="3"/>
        <v>0.73477222222222216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2405.1801999999998</v>
      </c>
      <c r="E97" s="25">
        <v>43.339500000000001</v>
      </c>
      <c r="F97" s="25">
        <v>46.666600000000003</v>
      </c>
      <c r="G97" s="25">
        <v>47.922600000000003</v>
      </c>
      <c r="H97" s="25">
        <v>2508.36</v>
      </c>
      <c r="I97" s="25">
        <v>20.85</v>
      </c>
      <c r="J97" s="26">
        <f t="shared" si="2"/>
        <v>0.69676666666666676</v>
      </c>
      <c r="L97" s="24">
        <v>2405.1801999999998</v>
      </c>
      <c r="M97" s="25">
        <v>43.339500000000001</v>
      </c>
      <c r="N97" s="25">
        <v>46.666600000000003</v>
      </c>
      <c r="O97" s="25">
        <v>47.922600000000003</v>
      </c>
      <c r="P97" s="25">
        <v>2498.41</v>
      </c>
      <c r="Q97" s="25">
        <v>21.17</v>
      </c>
      <c r="R97" s="26">
        <f t="shared" si="3"/>
        <v>0.69400277777777775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1609.4176</v>
      </c>
      <c r="E98" s="34">
        <v>39.261099999999999</v>
      </c>
      <c r="F98" s="34">
        <v>44.6723</v>
      </c>
      <c r="G98" s="34">
        <v>45.781799999999997</v>
      </c>
      <c r="H98" s="34">
        <v>2446.65</v>
      </c>
      <c r="I98" s="34">
        <v>19.41</v>
      </c>
      <c r="J98" s="35">
        <f t="shared" si="2"/>
        <v>0.67962500000000003</v>
      </c>
      <c r="L98" s="33">
        <v>1609.4176</v>
      </c>
      <c r="M98" s="34">
        <v>39.261099999999999</v>
      </c>
      <c r="N98" s="34">
        <v>44.6723</v>
      </c>
      <c r="O98" s="34">
        <v>45.781799999999997</v>
      </c>
      <c r="P98" s="34">
        <v>2408.64</v>
      </c>
      <c r="Q98" s="34">
        <v>19.5</v>
      </c>
      <c r="R98" s="35">
        <f t="shared" si="3"/>
        <v>0.66906666666666659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20">
        <f t="shared" ref="T99:Y99" si="4">AVERAGE(T3,T7,T11,T15)</f>
        <v>0</v>
      </c>
      <c r="U99" s="21">
        <f t="shared" si="4"/>
        <v>0</v>
      </c>
      <c r="V99" s="21">
        <f t="shared" si="4"/>
        <v>0</v>
      </c>
      <c r="W99" s="20">
        <f t="shared" si="4"/>
        <v>0</v>
      </c>
      <c r="X99" s="21">
        <f t="shared" si="4"/>
        <v>0</v>
      </c>
      <c r="Y99" s="22">
        <f t="shared" si="4"/>
        <v>0</v>
      </c>
    </row>
    <row r="100" spans="1:25" x14ac:dyDescent="0.2">
      <c r="B100" s="23" t="s">
        <v>68</v>
      </c>
      <c r="T100" s="41">
        <f>AVERAGE(T3,T7)</f>
        <v>0</v>
      </c>
      <c r="U100" s="42">
        <f t="shared" ref="U100:Y100" si="5">AVERAGE(U3,U7)</f>
        <v>0</v>
      </c>
      <c r="V100" s="42">
        <f t="shared" si="5"/>
        <v>0</v>
      </c>
      <c r="W100" s="41">
        <f t="shared" si="5"/>
        <v>0</v>
      </c>
      <c r="X100" s="42">
        <f t="shared" si="5"/>
        <v>0</v>
      </c>
      <c r="Y100" s="43">
        <f t="shared" si="5"/>
        <v>0</v>
      </c>
    </row>
    <row r="101" spans="1:25" x14ac:dyDescent="0.2">
      <c r="B101" s="23" t="s">
        <v>7</v>
      </c>
      <c r="T101" s="41">
        <f t="shared" ref="T101:Y101" si="6">AVERAGE(T19,T23,T27,T31,T35)</f>
        <v>0</v>
      </c>
      <c r="U101" s="42">
        <f t="shared" si="6"/>
        <v>0</v>
      </c>
      <c r="V101" s="42">
        <f t="shared" si="6"/>
        <v>0</v>
      </c>
      <c r="W101" s="41">
        <f t="shared" si="6"/>
        <v>0</v>
      </c>
      <c r="X101" s="42">
        <f t="shared" si="6"/>
        <v>0</v>
      </c>
      <c r="Y101" s="43">
        <f t="shared" si="6"/>
        <v>0</v>
      </c>
    </row>
    <row r="102" spans="1:25" x14ac:dyDescent="0.2">
      <c r="B102" s="23" t="s">
        <v>14</v>
      </c>
      <c r="T102" s="41">
        <f t="shared" ref="T102:Y102" si="7">AVERAGE(T39,T43,T47,T51)</f>
        <v>0</v>
      </c>
      <c r="U102" s="42">
        <f t="shared" si="7"/>
        <v>0</v>
      </c>
      <c r="V102" s="42">
        <f t="shared" si="7"/>
        <v>0</v>
      </c>
      <c r="W102" s="41">
        <f t="shared" si="7"/>
        <v>0</v>
      </c>
      <c r="X102" s="42">
        <f t="shared" si="7"/>
        <v>0</v>
      </c>
      <c r="Y102" s="43">
        <f t="shared" si="7"/>
        <v>0</v>
      </c>
    </row>
    <row r="103" spans="1:25" x14ac:dyDescent="0.2">
      <c r="B103" s="23" t="s">
        <v>20</v>
      </c>
      <c r="T103" s="41">
        <f t="shared" ref="T103:Y103" si="8">AVERAGE(T55,T59,T63,T67)</f>
        <v>0</v>
      </c>
      <c r="U103" s="42">
        <f t="shared" si="8"/>
        <v>0</v>
      </c>
      <c r="V103" s="42">
        <f t="shared" si="8"/>
        <v>0</v>
      </c>
      <c r="W103" s="41">
        <f t="shared" si="8"/>
        <v>0</v>
      </c>
      <c r="X103" s="42">
        <f t="shared" si="8"/>
        <v>0</v>
      </c>
      <c r="Y103" s="43">
        <f t="shared" si="8"/>
        <v>0</v>
      </c>
    </row>
    <row r="104" spans="1:25" x14ac:dyDescent="0.2">
      <c r="B104" s="23" t="s">
        <v>27</v>
      </c>
      <c r="T104" s="41">
        <f t="shared" ref="T104:Y104" si="9">AVERAGE(T71,T75,T79)</f>
        <v>0</v>
      </c>
      <c r="U104" s="42">
        <f t="shared" si="9"/>
        <v>0</v>
      </c>
      <c r="V104" s="42">
        <f t="shared" si="9"/>
        <v>0</v>
      </c>
      <c r="W104" s="41">
        <f t="shared" si="9"/>
        <v>0</v>
      </c>
      <c r="X104" s="42">
        <f t="shared" si="9"/>
        <v>0</v>
      </c>
      <c r="Y104" s="43">
        <f t="shared" si="9"/>
        <v>0</v>
      </c>
    </row>
    <row r="105" spans="1:25" ht="12.75" thickBot="1" x14ac:dyDescent="0.25">
      <c r="B105" s="23" t="s">
        <v>63</v>
      </c>
      <c r="T105" s="41">
        <f t="shared" ref="T105:Y105" si="10">AVERAGE(T83,T87,T91,T95)</f>
        <v>0</v>
      </c>
      <c r="U105" s="42">
        <f t="shared" si="10"/>
        <v>0</v>
      </c>
      <c r="V105" s="42">
        <f t="shared" si="10"/>
        <v>0</v>
      </c>
      <c r="W105" s="41">
        <f t="shared" si="10"/>
        <v>0</v>
      </c>
      <c r="X105" s="42">
        <f t="shared" si="10"/>
        <v>0</v>
      </c>
      <c r="Y105" s="43">
        <f t="shared" si="10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11">AVERAGE(T3:T98)</f>
        <v>0</v>
      </c>
      <c r="U106" s="46">
        <f t="shared" si="11"/>
        <v>0</v>
      </c>
      <c r="V106" s="47">
        <f t="shared" si="11"/>
        <v>0</v>
      </c>
      <c r="W106" s="46">
        <f t="shared" si="11"/>
        <v>0</v>
      </c>
      <c r="X106" s="46">
        <f t="shared" si="11"/>
        <v>0</v>
      </c>
      <c r="Y106" s="47">
        <f t="shared" si="11"/>
        <v>0</v>
      </c>
    </row>
    <row r="107" spans="1:25" x14ac:dyDescent="0.2">
      <c r="B107" s="13" t="s">
        <v>29</v>
      </c>
      <c r="I107" s="95">
        <f>GEOMEAN(I3:I98)</f>
        <v>24.188313471757748</v>
      </c>
      <c r="J107" s="92">
        <f>GEOMEAN(J3:J98)</f>
        <v>0.64499519687281792</v>
      </c>
      <c r="Q107" s="95">
        <f>GEOMEAN(Q3:Q98)</f>
        <v>24.170858872554863</v>
      </c>
      <c r="R107" s="92">
        <f>GEOMEAN(R3:R98)</f>
        <v>0.64489690512425968</v>
      </c>
    </row>
    <row r="108" spans="1:25" ht="12.75" thickBot="1" x14ac:dyDescent="0.25">
      <c r="B108" s="23" t="s">
        <v>30</v>
      </c>
      <c r="I108" s="96">
        <f>SUM(I3:I98)/3600</f>
        <v>0.93459166666666671</v>
      </c>
      <c r="J108" s="94">
        <f>SUM(J3:J98)</f>
        <v>93.780905555555563</v>
      </c>
      <c r="Q108" s="96">
        <f>SUM(Q3:Q98)/3600</f>
        <v>0.93341111111111119</v>
      </c>
      <c r="R108" s="94">
        <f>SUM(R3:R98)</f>
        <v>93.738925000000023</v>
      </c>
    </row>
    <row r="109" spans="1:25" ht="12.75" thickBot="1" x14ac:dyDescent="0.25">
      <c r="B109" s="32" t="s">
        <v>98</v>
      </c>
      <c r="T109" s="97">
        <f>Q107/I107</f>
        <v>0.99927838709287176</v>
      </c>
      <c r="U109" s="98">
        <f>R107/J107</f>
        <v>0.99984760855734311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2">AVERAGE(T3:T10, T19:T98)</f>
        <v>0</v>
      </c>
      <c r="U112" s="46">
        <f t="shared" si="12"/>
        <v>0</v>
      </c>
      <c r="V112" s="47">
        <f t="shared" si="12"/>
        <v>0</v>
      </c>
      <c r="W112" s="46">
        <f t="shared" si="12"/>
        <v>0</v>
      </c>
      <c r="X112" s="46">
        <f t="shared" si="12"/>
        <v>0</v>
      </c>
      <c r="Y112" s="47">
        <f t="shared" si="12"/>
        <v>0</v>
      </c>
    </row>
    <row r="113" spans="2:21" x14ac:dyDescent="0.2">
      <c r="B113" s="13" t="s">
        <v>29</v>
      </c>
      <c r="I113" s="95">
        <f>GEOMEAN(I3:I10, I19:I82)</f>
        <v>21.611342853540357</v>
      </c>
      <c r="J113" s="92">
        <f t="shared" ref="J113:R113" si="13">GEOMEAN(J3:J10, J19:J82)</f>
        <v>0.56199629285401509</v>
      </c>
      <c r="Q113" s="95">
        <f t="shared" si="13"/>
        <v>21.613999824821128</v>
      </c>
      <c r="R113" s="92">
        <f t="shared" si="13"/>
        <v>0.562027624760853</v>
      </c>
    </row>
    <row r="114" spans="2:21" ht="12.75" thickBot="1" x14ac:dyDescent="0.25">
      <c r="B114" s="23" t="s">
        <v>30</v>
      </c>
      <c r="I114" s="96">
        <f>SUM(I3:I10, I19:I82)/3600</f>
        <v>0.65869722222222216</v>
      </c>
      <c r="J114" s="94">
        <f>SUM(J3:J10, J19:J82)</f>
        <v>63.66941111111111</v>
      </c>
      <c r="Q114" s="96">
        <f t="shared" ref="Q114" si="14">SUM(Q3:Q10, Q19:Q82)/3600</f>
        <v>0.65855833333333347</v>
      </c>
      <c r="R114" s="94">
        <f>SUM(R3:R10, R19:R82)</f>
        <v>63.690997222222244</v>
      </c>
    </row>
    <row r="115" spans="2:21" ht="12.75" thickBot="1" x14ac:dyDescent="0.25">
      <c r="B115" s="32" t="s">
        <v>98</v>
      </c>
      <c r="T115" s="97">
        <f>Q113/I113</f>
        <v>1.0001229433681551</v>
      </c>
      <c r="U115" s="98">
        <f>R113/J113</f>
        <v>1.0000557510916643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31" priority="9" operator="greaterThan">
      <formula>0.03</formula>
    </cfRule>
    <cfRule type="cellIs" dxfId="30" priority="10" stopIfTrue="1" operator="lessThan">
      <formula>-0.03</formula>
    </cfRule>
  </conditionalFormatting>
  <conditionalFormatting sqref="T112:Y112">
    <cfRule type="cellIs" dxfId="29" priority="7" operator="greaterThan">
      <formula>0.03</formula>
    </cfRule>
    <cfRule type="cellIs" dxfId="28" priority="8" stopIfTrue="1" operator="lessThan">
      <formula>-0.03</formula>
    </cfRule>
  </conditionalFormatting>
  <conditionalFormatting sqref="T112:Y112">
    <cfRule type="cellIs" dxfId="27" priority="5" operator="greaterThan">
      <formula>0.03</formula>
    </cfRule>
    <cfRule type="cellIs" dxfId="26" priority="6" stopIfTrue="1" operator="lessThan">
      <formula>-0.03</formula>
    </cfRule>
  </conditionalFormatting>
  <conditionalFormatting sqref="T112:Y112">
    <cfRule type="cellIs" dxfId="25" priority="1" operator="greaterThan">
      <formula>0.03</formula>
    </cfRule>
    <cfRule type="cellIs" dxfId="2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L39" sqref="L39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13" t="s">
        <v>2</v>
      </c>
      <c r="B3" s="13" t="s">
        <v>3</v>
      </c>
      <c r="C3" s="13">
        <v>22</v>
      </c>
      <c r="D3" s="17">
        <v>13044.894399999999</v>
      </c>
      <c r="E3" s="18">
        <v>41.797899999999998</v>
      </c>
      <c r="F3" s="18">
        <v>41.6464</v>
      </c>
      <c r="G3" s="18">
        <v>44.372</v>
      </c>
      <c r="H3" s="18">
        <v>12656.62</v>
      </c>
      <c r="I3" s="18">
        <v>26.67</v>
      </c>
      <c r="J3" s="16">
        <f>secToHours(H3)</f>
        <v>3.5157277777777778</v>
      </c>
      <c r="L3" s="17">
        <v>13044.894399999999</v>
      </c>
      <c r="M3" s="18">
        <v>41.797899999999998</v>
      </c>
      <c r="N3" s="18">
        <v>41.6464</v>
      </c>
      <c r="O3" s="18">
        <v>44.372</v>
      </c>
      <c r="P3" s="18">
        <v>12573.95</v>
      </c>
      <c r="Q3" s="18">
        <v>26.48</v>
      </c>
      <c r="R3" s="16">
        <f>secToHours(P3)</f>
        <v>3.4927638888888892</v>
      </c>
      <c r="S3" s="19"/>
      <c r="T3" s="20">
        <f>[1]!bdrate($D3:$D6,E3:E6,$L3:$L6,M3:M6)</f>
        <v>0</v>
      </c>
      <c r="U3" s="21">
        <f>[1]!bdrate($D3:$D6,F3:F6,$L3:$L6,N3:N6)</f>
        <v>0</v>
      </c>
      <c r="V3" s="22">
        <f>[1]!bdrate($D3:$D6,G3:G6,$L3:$L6,O3:O6)</f>
        <v>0</v>
      </c>
      <c r="W3" s="20">
        <f>[1]!bdrateOld($D3:$D6,E3:E6,$L3:$L6,M3:M6)</f>
        <v>0</v>
      </c>
      <c r="X3" s="21">
        <f>[1]!bdrateOld($D3:$D6,F3:F6,$L3:$L6,N3:N6)</f>
        <v>0</v>
      </c>
      <c r="Y3" s="22">
        <f>[1]!bdrateOld($D3:$D6,G3:G6,$L3:$L6,O3:O6)</f>
        <v>0</v>
      </c>
    </row>
    <row r="4" spans="1:25" x14ac:dyDescent="0.2">
      <c r="A4" s="23" t="s">
        <v>4</v>
      </c>
      <c r="B4" s="23"/>
      <c r="C4" s="23">
        <v>27</v>
      </c>
      <c r="D4" s="27">
        <v>5274.0159999999996</v>
      </c>
      <c r="E4" s="28">
        <v>39.226199999999999</v>
      </c>
      <c r="F4" s="28">
        <v>39.856400000000001</v>
      </c>
      <c r="G4" s="28">
        <v>42.378599999999999</v>
      </c>
      <c r="H4" s="28">
        <v>10253.35</v>
      </c>
      <c r="I4" s="28">
        <v>21.19</v>
      </c>
      <c r="J4" s="26">
        <f t="shared" ref="J4:J67" si="0">secToHours(H4)</f>
        <v>2.848152777777778</v>
      </c>
      <c r="L4" s="27">
        <v>5274.0159999999996</v>
      </c>
      <c r="M4" s="28">
        <v>39.226199999999999</v>
      </c>
      <c r="N4" s="28">
        <v>39.856400000000001</v>
      </c>
      <c r="O4" s="28">
        <v>42.378599999999999</v>
      </c>
      <c r="P4" s="28">
        <v>10265.459999999999</v>
      </c>
      <c r="Q4" s="28">
        <v>20.84</v>
      </c>
      <c r="R4" s="26">
        <f t="shared" ref="R4:R67" si="1">secToHours(P4)</f>
        <v>2.8515166666666665</v>
      </c>
      <c r="S4" s="19"/>
      <c r="T4" s="29"/>
      <c r="U4" s="30"/>
      <c r="V4" s="31"/>
      <c r="W4" s="29"/>
      <c r="X4" s="30"/>
      <c r="Y4" s="31"/>
    </row>
    <row r="5" spans="1:25" x14ac:dyDescent="0.2">
      <c r="A5" s="23"/>
      <c r="B5" s="23"/>
      <c r="C5" s="23">
        <v>32</v>
      </c>
      <c r="D5" s="27">
        <v>2532.2352000000001</v>
      </c>
      <c r="E5" s="28">
        <v>36.622300000000003</v>
      </c>
      <c r="F5" s="28">
        <v>38.477699999999999</v>
      </c>
      <c r="G5" s="28">
        <v>40.847799999999999</v>
      </c>
      <c r="H5" s="28">
        <v>9191.16</v>
      </c>
      <c r="I5" s="28">
        <v>18.32</v>
      </c>
      <c r="J5" s="26">
        <f t="shared" si="0"/>
        <v>2.5531000000000001</v>
      </c>
      <c r="L5" s="27">
        <v>2532.2352000000001</v>
      </c>
      <c r="M5" s="28">
        <v>36.622300000000003</v>
      </c>
      <c r="N5" s="28">
        <v>38.477699999999999</v>
      </c>
      <c r="O5" s="28">
        <v>40.847799999999999</v>
      </c>
      <c r="P5" s="28">
        <v>9137.98</v>
      </c>
      <c r="Q5" s="28">
        <v>18.34</v>
      </c>
      <c r="R5" s="26">
        <f t="shared" si="1"/>
        <v>2.5383277777777775</v>
      </c>
      <c r="S5" s="19"/>
      <c r="T5" s="29"/>
      <c r="U5" s="30"/>
      <c r="V5" s="31"/>
      <c r="W5" s="29"/>
      <c r="X5" s="30"/>
      <c r="Y5" s="31"/>
    </row>
    <row r="6" spans="1:25" ht="12.75" thickBot="1" x14ac:dyDescent="0.25">
      <c r="A6" s="23"/>
      <c r="B6" s="32"/>
      <c r="C6" s="32">
        <v>37</v>
      </c>
      <c r="D6" s="36">
        <v>1315.5776000000001</v>
      </c>
      <c r="E6" s="37">
        <v>33.939</v>
      </c>
      <c r="F6" s="37">
        <v>37.4255</v>
      </c>
      <c r="G6" s="37">
        <v>39.7652</v>
      </c>
      <c r="H6" s="37">
        <v>8557.99</v>
      </c>
      <c r="I6" s="37">
        <v>17</v>
      </c>
      <c r="J6" s="35">
        <f t="shared" si="0"/>
        <v>2.3772194444444446</v>
      </c>
      <c r="L6" s="36">
        <v>1315.5776000000001</v>
      </c>
      <c r="M6" s="37">
        <v>33.939</v>
      </c>
      <c r="N6" s="37">
        <v>37.4255</v>
      </c>
      <c r="O6" s="37">
        <v>39.7652</v>
      </c>
      <c r="P6" s="37">
        <v>8515.4699999999993</v>
      </c>
      <c r="Q6" s="37">
        <v>16.7</v>
      </c>
      <c r="R6" s="35">
        <f t="shared" si="1"/>
        <v>2.3654083333333333</v>
      </c>
      <c r="S6" s="19"/>
      <c r="T6" s="38"/>
      <c r="U6" s="39"/>
      <c r="V6" s="40"/>
      <c r="W6" s="38"/>
      <c r="X6" s="39"/>
      <c r="Y6" s="40"/>
    </row>
    <row r="7" spans="1:25" x14ac:dyDescent="0.2">
      <c r="A7" s="23"/>
      <c r="B7" s="13" t="s">
        <v>5</v>
      </c>
      <c r="C7" s="13">
        <v>22</v>
      </c>
      <c r="D7" s="17">
        <v>32603.310399999998</v>
      </c>
      <c r="E7" s="18">
        <v>40.246000000000002</v>
      </c>
      <c r="F7" s="18">
        <v>45.040599999999998</v>
      </c>
      <c r="G7" s="18">
        <v>44.8127</v>
      </c>
      <c r="H7" s="18">
        <v>20333.62</v>
      </c>
      <c r="I7" s="18">
        <v>39.450000000000003</v>
      </c>
      <c r="J7" s="16">
        <f t="shared" si="0"/>
        <v>5.6482277777777776</v>
      </c>
      <c r="L7" s="17">
        <v>32603.310399999998</v>
      </c>
      <c r="M7" s="18">
        <v>40.246000000000002</v>
      </c>
      <c r="N7" s="18">
        <v>45.040599999999998</v>
      </c>
      <c r="O7" s="18">
        <v>44.8127</v>
      </c>
      <c r="P7" s="18">
        <v>20264.900000000001</v>
      </c>
      <c r="Q7" s="18">
        <v>39.65</v>
      </c>
      <c r="R7" s="16">
        <f t="shared" si="1"/>
        <v>5.6291388888888889</v>
      </c>
      <c r="S7" s="19"/>
      <c r="T7" s="20">
        <f>[1]!bdrate($D7:$D10,E7:E10,$L7:$L10,M7:M10)</f>
        <v>0</v>
      </c>
      <c r="U7" s="21">
        <f>[1]!bdrate($D7:$D10,F7:F10,$L7:$L10,N7:N10)</f>
        <v>0</v>
      </c>
      <c r="V7" s="21">
        <f>[1]!bdrate($D7:$D10,G7:G10,$L7:$L10,O7:O10)</f>
        <v>0</v>
      </c>
      <c r="W7" s="41">
        <f>[1]!bdrateOld($D7:$D10,E7:E10,$L7:$L10,M7:M10)</f>
        <v>0</v>
      </c>
      <c r="X7" s="42">
        <f>[1]!bdrateOld($D7:$D10,F7:F10,$L7:$L10,N7:N10)</f>
        <v>0</v>
      </c>
      <c r="Y7" s="43">
        <f>[1]!bdrateOld($D7:$D10,G7:G10,$L7:$L10,O7:O10)</f>
        <v>0</v>
      </c>
    </row>
    <row r="8" spans="1:25" x14ac:dyDescent="0.2">
      <c r="A8" s="23"/>
      <c r="B8" s="23"/>
      <c r="C8" s="23">
        <v>27</v>
      </c>
      <c r="D8" s="27">
        <v>15641.1296</v>
      </c>
      <c r="E8" s="28">
        <v>37.190800000000003</v>
      </c>
      <c r="F8" s="28">
        <v>43.025799999999997</v>
      </c>
      <c r="G8" s="28">
        <v>43.374200000000002</v>
      </c>
      <c r="H8" s="28">
        <v>16678.78</v>
      </c>
      <c r="I8" s="28">
        <v>31.23</v>
      </c>
      <c r="J8" s="26">
        <f t="shared" si="0"/>
        <v>4.632994444444444</v>
      </c>
      <c r="L8" s="27">
        <v>15641.1296</v>
      </c>
      <c r="M8" s="28">
        <v>37.190800000000003</v>
      </c>
      <c r="N8" s="28">
        <v>43.025799999999997</v>
      </c>
      <c r="O8" s="28">
        <v>43.374200000000002</v>
      </c>
      <c r="P8" s="28">
        <v>16691.37</v>
      </c>
      <c r="Q8" s="28">
        <v>31.28</v>
      </c>
      <c r="R8" s="26">
        <f t="shared" si="1"/>
        <v>4.6364916666666662</v>
      </c>
      <c r="S8" s="19"/>
      <c r="T8" s="29"/>
      <c r="U8" s="30"/>
      <c r="V8" s="30"/>
      <c r="W8" s="29"/>
      <c r="X8" s="30"/>
      <c r="Y8" s="31"/>
    </row>
    <row r="9" spans="1:25" x14ac:dyDescent="0.2">
      <c r="A9" s="23"/>
      <c r="B9" s="23"/>
      <c r="C9" s="23">
        <v>32</v>
      </c>
      <c r="D9" s="27">
        <v>8216.2559999999994</v>
      </c>
      <c r="E9" s="28">
        <v>34.2012</v>
      </c>
      <c r="F9" s="28">
        <v>41.348500000000001</v>
      </c>
      <c r="G9" s="28">
        <v>42.005699999999997</v>
      </c>
      <c r="H9" s="28">
        <v>14377.39</v>
      </c>
      <c r="I9" s="28">
        <v>26.29</v>
      </c>
      <c r="J9" s="26">
        <f t="shared" si="0"/>
        <v>3.9937194444444444</v>
      </c>
      <c r="L9" s="27">
        <v>8216.2559999999994</v>
      </c>
      <c r="M9" s="28">
        <v>34.2012</v>
      </c>
      <c r="N9" s="28">
        <v>41.348500000000001</v>
      </c>
      <c r="O9" s="28">
        <v>42.005699999999997</v>
      </c>
      <c r="P9" s="28">
        <v>14403.5</v>
      </c>
      <c r="Q9" s="28">
        <v>26.06</v>
      </c>
      <c r="R9" s="26">
        <f t="shared" si="1"/>
        <v>4.0009722222222219</v>
      </c>
      <c r="S9" s="19"/>
      <c r="T9" s="29"/>
      <c r="U9" s="44"/>
      <c r="V9" s="30"/>
      <c r="W9" s="29"/>
      <c r="X9" s="30"/>
      <c r="Y9" s="31"/>
    </row>
    <row r="10" spans="1:25" ht="12.75" thickBot="1" x14ac:dyDescent="0.25">
      <c r="A10" s="23"/>
      <c r="B10" s="32"/>
      <c r="C10" s="32">
        <v>37</v>
      </c>
      <c r="D10" s="36">
        <v>4610.2752</v>
      </c>
      <c r="E10" s="37">
        <v>31.439599999999999</v>
      </c>
      <c r="F10" s="37">
        <v>40.148000000000003</v>
      </c>
      <c r="G10" s="37">
        <v>40.959000000000003</v>
      </c>
      <c r="H10" s="37">
        <v>12730.34</v>
      </c>
      <c r="I10" s="37">
        <v>23.21</v>
      </c>
      <c r="J10" s="35">
        <f t="shared" si="0"/>
        <v>3.5362055555555556</v>
      </c>
      <c r="L10" s="36">
        <v>4610.2752</v>
      </c>
      <c r="M10" s="37">
        <v>31.439599999999999</v>
      </c>
      <c r="N10" s="37">
        <v>40.148000000000003</v>
      </c>
      <c r="O10" s="37">
        <v>40.959000000000003</v>
      </c>
      <c r="P10" s="37">
        <v>12760.1</v>
      </c>
      <c r="Q10" s="37">
        <v>23.01</v>
      </c>
      <c r="R10" s="35">
        <f t="shared" si="1"/>
        <v>3.5444722222222222</v>
      </c>
      <c r="S10" s="19"/>
      <c r="T10" s="38"/>
      <c r="U10" s="39"/>
      <c r="V10" s="39"/>
      <c r="W10" s="38"/>
      <c r="X10" s="39"/>
      <c r="Y10" s="40"/>
    </row>
    <row r="11" spans="1:25" x14ac:dyDescent="0.2">
      <c r="A11" s="64"/>
      <c r="B11" s="13" t="s">
        <v>0</v>
      </c>
      <c r="C11" s="13">
        <v>22</v>
      </c>
      <c r="D11" s="17">
        <v>215346.83679999999</v>
      </c>
      <c r="E11" s="18">
        <v>39.159199999999998</v>
      </c>
      <c r="F11" s="18">
        <v>39.234999999999999</v>
      </c>
      <c r="G11" s="18">
        <v>37.7684</v>
      </c>
      <c r="H11" s="18">
        <v>61517.48</v>
      </c>
      <c r="I11" s="18">
        <v>94.17</v>
      </c>
      <c r="J11" s="16">
        <f t="shared" si="0"/>
        <v>17.08818888888889</v>
      </c>
      <c r="L11" s="17">
        <v>215346.83679999999</v>
      </c>
      <c r="M11" s="18">
        <v>39.159199999999998</v>
      </c>
      <c r="N11" s="18">
        <v>39.234999999999999</v>
      </c>
      <c r="O11" s="18">
        <v>37.7684</v>
      </c>
      <c r="P11" s="18">
        <v>61374.91</v>
      </c>
      <c r="Q11" s="18">
        <v>93.85</v>
      </c>
      <c r="R11" s="16">
        <f t="shared" si="1"/>
        <v>17.048586111111113</v>
      </c>
      <c r="S11" s="19"/>
      <c r="T11" s="20">
        <f>[1]!bdrate($D11:$D14,E11:E14,$L11:$L14,M11:M14)</f>
        <v>0</v>
      </c>
      <c r="U11" s="21">
        <f>[1]!bdrate($D11:$D14,F11:F14,$L11:$L14,N11:N14)</f>
        <v>0</v>
      </c>
      <c r="V11" s="21">
        <f>[1]!bdrate($D11:$D14,G11:G14,$L11:$L14,O11:O14)</f>
        <v>0</v>
      </c>
      <c r="W11" s="41">
        <f>[1]!bdrateOld($D11:$D14,E11:E14,$L11:$L14,M11:M14)</f>
        <v>0</v>
      </c>
      <c r="X11" s="42">
        <f>[1]!bdrateOld($D11:$D14,F11:F14,$L11:$L14,N11:N14)</f>
        <v>0</v>
      </c>
      <c r="Y11" s="43">
        <f>[1]!bdrateOld($D11:$D14,G11:G14,$L11:$L14,O11:O14)</f>
        <v>0</v>
      </c>
    </row>
    <row r="12" spans="1:25" x14ac:dyDescent="0.2">
      <c r="A12" s="64"/>
      <c r="B12" s="23"/>
      <c r="C12" s="23">
        <v>27</v>
      </c>
      <c r="D12" s="27">
        <v>99513.102400000003</v>
      </c>
      <c r="E12" s="28">
        <v>33.658999999999999</v>
      </c>
      <c r="F12" s="28">
        <v>37.917299999999997</v>
      </c>
      <c r="G12" s="28">
        <v>36.479300000000002</v>
      </c>
      <c r="H12" s="28">
        <v>49635.99</v>
      </c>
      <c r="I12" s="28">
        <v>81.5</v>
      </c>
      <c r="J12" s="26">
        <f t="shared" si="0"/>
        <v>13.787775</v>
      </c>
      <c r="L12" s="27">
        <v>99513.102400000003</v>
      </c>
      <c r="M12" s="28">
        <v>33.658999999999999</v>
      </c>
      <c r="N12" s="28">
        <v>37.917299999999997</v>
      </c>
      <c r="O12" s="28">
        <v>36.479300000000002</v>
      </c>
      <c r="P12" s="28">
        <v>49522.96</v>
      </c>
      <c r="Q12" s="28">
        <v>81.28</v>
      </c>
      <c r="R12" s="26">
        <f t="shared" si="1"/>
        <v>13.756377777777777</v>
      </c>
      <c r="S12" s="19"/>
      <c r="T12" s="29"/>
      <c r="U12" s="30"/>
      <c r="V12" s="30"/>
      <c r="W12" s="29"/>
      <c r="X12" s="30"/>
      <c r="Y12" s="31"/>
    </row>
    <row r="13" spans="1:25" x14ac:dyDescent="0.2">
      <c r="A13" s="64"/>
      <c r="B13" s="23"/>
      <c r="C13" s="23">
        <v>32</v>
      </c>
      <c r="D13" s="27">
        <v>28966.649600000001</v>
      </c>
      <c r="E13" s="28">
        <v>29.482299999999999</v>
      </c>
      <c r="F13" s="28">
        <v>36.735500000000002</v>
      </c>
      <c r="G13" s="28">
        <v>35.405000000000001</v>
      </c>
      <c r="H13" s="28">
        <v>31341.360000000001</v>
      </c>
      <c r="I13" s="28">
        <v>57.16</v>
      </c>
      <c r="J13" s="26">
        <f t="shared" si="0"/>
        <v>8.7059333333333342</v>
      </c>
      <c r="L13" s="27">
        <v>28966.649600000001</v>
      </c>
      <c r="M13" s="28">
        <v>29.482299999999999</v>
      </c>
      <c r="N13" s="28">
        <v>36.735500000000002</v>
      </c>
      <c r="O13" s="28">
        <v>35.405000000000001</v>
      </c>
      <c r="P13" s="28">
        <v>31310.47</v>
      </c>
      <c r="Q13" s="28">
        <v>56.25</v>
      </c>
      <c r="R13" s="26">
        <f t="shared" si="1"/>
        <v>8.6973527777777786</v>
      </c>
      <c r="S13" s="19"/>
      <c r="T13" s="29"/>
      <c r="U13" s="44"/>
      <c r="V13" s="30"/>
      <c r="W13" s="29"/>
      <c r="X13" s="30"/>
      <c r="Y13" s="31"/>
    </row>
    <row r="14" spans="1:25" ht="12.75" thickBot="1" x14ac:dyDescent="0.25">
      <c r="A14" s="64"/>
      <c r="B14" s="32"/>
      <c r="C14" s="32">
        <v>37</v>
      </c>
      <c r="D14" s="36">
        <v>7115.3824000000004</v>
      </c>
      <c r="E14" s="37">
        <v>27.894600000000001</v>
      </c>
      <c r="F14" s="37">
        <v>35.806399999999996</v>
      </c>
      <c r="G14" s="37">
        <v>34.5608</v>
      </c>
      <c r="H14" s="37">
        <v>22063.200000000001</v>
      </c>
      <c r="I14" s="37">
        <v>39.76</v>
      </c>
      <c r="J14" s="35">
        <f t="shared" si="0"/>
        <v>6.1286666666666667</v>
      </c>
      <c r="L14" s="36">
        <v>7115.3824000000004</v>
      </c>
      <c r="M14" s="37">
        <v>27.894600000000001</v>
      </c>
      <c r="N14" s="37">
        <v>35.806399999999996</v>
      </c>
      <c r="O14" s="37">
        <v>34.5608</v>
      </c>
      <c r="P14" s="37">
        <v>22030.01</v>
      </c>
      <c r="Q14" s="37">
        <v>39.99</v>
      </c>
      <c r="R14" s="35">
        <f t="shared" si="1"/>
        <v>6.119447222222222</v>
      </c>
      <c r="S14" s="19"/>
      <c r="T14" s="38"/>
      <c r="U14" s="39"/>
      <c r="V14" s="39"/>
      <c r="W14" s="38"/>
      <c r="X14" s="39"/>
      <c r="Y14" s="40"/>
    </row>
    <row r="15" spans="1:25" x14ac:dyDescent="0.2">
      <c r="A15" s="64"/>
      <c r="B15" s="13" t="s">
        <v>6</v>
      </c>
      <c r="C15" s="13">
        <v>22</v>
      </c>
      <c r="D15" s="17">
        <v>22999.919999999998</v>
      </c>
      <c r="E15" s="18">
        <v>41.537500000000001</v>
      </c>
      <c r="F15" s="18">
        <v>46.666200000000003</v>
      </c>
      <c r="G15" s="18">
        <v>46.3703</v>
      </c>
      <c r="H15" s="18">
        <v>34925.06</v>
      </c>
      <c r="I15" s="18">
        <v>54.33</v>
      </c>
      <c r="J15" s="16">
        <f t="shared" si="0"/>
        <v>9.7014055555555547</v>
      </c>
      <c r="L15" s="17">
        <v>22999.919999999998</v>
      </c>
      <c r="M15" s="18">
        <v>41.537500000000001</v>
      </c>
      <c r="N15" s="18">
        <v>46.666200000000003</v>
      </c>
      <c r="O15" s="18">
        <v>46.3703</v>
      </c>
      <c r="P15" s="18">
        <v>34914.44</v>
      </c>
      <c r="Q15" s="18">
        <v>53.55</v>
      </c>
      <c r="R15" s="16">
        <f t="shared" si="1"/>
        <v>9.6984555555555563</v>
      </c>
      <c r="S15" s="19"/>
      <c r="T15" s="20">
        <f>[1]!bdrate($D15:$D18,E15:E18,$L15:$L18,M15:M18)</f>
        <v>0</v>
      </c>
      <c r="U15" s="21">
        <f>[1]!bdrate($D15:$D18,F15:F18,$L15:$L18,N15:N18)</f>
        <v>0</v>
      </c>
      <c r="V15" s="21">
        <f>[1]!bdrate($D15:$D18,G15:G18,$L15:$L18,O15:O18)</f>
        <v>0</v>
      </c>
      <c r="W15" s="41">
        <f>[1]!bdrateOld($D15:$D18,E15:E18,$L15:$L18,M15:M18)</f>
        <v>0</v>
      </c>
      <c r="X15" s="42">
        <f>[1]!bdrateOld($D15:$D18,F15:F18,$L15:$L18,N15:N18)</f>
        <v>0</v>
      </c>
      <c r="Y15" s="43">
        <f>[1]!bdrateOld($D15:$D18,G15:G18,$L15:$L18,O15:O18)</f>
        <v>0</v>
      </c>
    </row>
    <row r="16" spans="1:25" x14ac:dyDescent="0.2">
      <c r="A16" s="64"/>
      <c r="B16" s="23"/>
      <c r="C16" s="23">
        <v>27</v>
      </c>
      <c r="D16" s="27">
        <v>5850.2160000000003</v>
      </c>
      <c r="E16" s="28">
        <v>40.145299999999999</v>
      </c>
      <c r="F16" s="28">
        <v>45.837499999999999</v>
      </c>
      <c r="G16" s="28">
        <v>45.674199999999999</v>
      </c>
      <c r="H16" s="28">
        <v>25985.86</v>
      </c>
      <c r="I16" s="28">
        <v>41.42</v>
      </c>
      <c r="J16" s="26">
        <f t="shared" si="0"/>
        <v>7.218294444444445</v>
      </c>
      <c r="L16" s="27">
        <v>5850.2160000000003</v>
      </c>
      <c r="M16" s="28">
        <v>40.145299999999999</v>
      </c>
      <c r="N16" s="28">
        <v>45.837499999999999</v>
      </c>
      <c r="O16" s="28">
        <v>45.674199999999999</v>
      </c>
      <c r="P16" s="28">
        <v>26005.88</v>
      </c>
      <c r="Q16" s="28">
        <v>40.53</v>
      </c>
      <c r="R16" s="26">
        <f t="shared" si="1"/>
        <v>7.2238555555555557</v>
      </c>
      <c r="S16" s="19"/>
      <c r="T16" s="29"/>
      <c r="U16" s="30"/>
      <c r="V16" s="30"/>
      <c r="W16" s="29"/>
      <c r="X16" s="30"/>
      <c r="Y16" s="31"/>
    </row>
    <row r="17" spans="1:25" x14ac:dyDescent="0.2">
      <c r="A17" s="64"/>
      <c r="B17" s="23"/>
      <c r="C17" s="23">
        <v>32</v>
      </c>
      <c r="D17" s="27">
        <v>2434.8384000000001</v>
      </c>
      <c r="E17" s="28">
        <v>38.834699999999998</v>
      </c>
      <c r="F17" s="28">
        <v>45.200800000000001</v>
      </c>
      <c r="G17" s="28">
        <v>45.137900000000002</v>
      </c>
      <c r="H17" s="28">
        <v>22529.15</v>
      </c>
      <c r="I17" s="28">
        <v>37.04</v>
      </c>
      <c r="J17" s="26">
        <f t="shared" si="0"/>
        <v>6.2580972222222222</v>
      </c>
      <c r="L17" s="27">
        <v>2434.8384000000001</v>
      </c>
      <c r="M17" s="28">
        <v>38.834699999999998</v>
      </c>
      <c r="N17" s="28">
        <v>45.200800000000001</v>
      </c>
      <c r="O17" s="28">
        <v>45.137900000000002</v>
      </c>
      <c r="P17" s="28">
        <v>22432.240000000002</v>
      </c>
      <c r="Q17" s="28">
        <v>37.01</v>
      </c>
      <c r="R17" s="26">
        <f t="shared" si="1"/>
        <v>6.2311777777777779</v>
      </c>
      <c r="S17" s="19"/>
      <c r="T17" s="29"/>
      <c r="U17" s="44"/>
      <c r="V17" s="30"/>
      <c r="W17" s="29"/>
      <c r="X17" s="30"/>
      <c r="Y17" s="31"/>
    </row>
    <row r="18" spans="1:25" ht="12.75" thickBot="1" x14ac:dyDescent="0.25">
      <c r="A18" s="65"/>
      <c r="B18" s="32"/>
      <c r="C18" s="32">
        <v>37</v>
      </c>
      <c r="D18" s="36">
        <v>1176.9359999999999</v>
      </c>
      <c r="E18" s="37">
        <v>37.075899999999997</v>
      </c>
      <c r="F18" s="37">
        <v>44.739199999999997</v>
      </c>
      <c r="G18" s="37">
        <v>44.758600000000001</v>
      </c>
      <c r="H18" s="37">
        <v>20323.54</v>
      </c>
      <c r="I18" s="37">
        <v>34.020000000000003</v>
      </c>
      <c r="J18" s="35">
        <f t="shared" si="0"/>
        <v>5.6454277777777779</v>
      </c>
      <c r="L18" s="36">
        <v>1176.9359999999999</v>
      </c>
      <c r="M18" s="37">
        <v>37.075899999999997</v>
      </c>
      <c r="N18" s="37">
        <v>44.739199999999997</v>
      </c>
      <c r="O18" s="37">
        <v>44.758600000000001</v>
      </c>
      <c r="P18" s="37">
        <v>20315.009999999998</v>
      </c>
      <c r="Q18" s="37">
        <v>34.49</v>
      </c>
      <c r="R18" s="35">
        <f t="shared" si="1"/>
        <v>5.6430583333333333</v>
      </c>
      <c r="S18" s="19"/>
      <c r="T18" s="38"/>
      <c r="U18" s="39"/>
      <c r="V18" s="39"/>
      <c r="W18" s="38"/>
      <c r="X18" s="39"/>
      <c r="Y18" s="40"/>
    </row>
    <row r="19" spans="1:25" x14ac:dyDescent="0.2">
      <c r="A19" s="13" t="s">
        <v>7</v>
      </c>
      <c r="B19" s="13" t="s">
        <v>8</v>
      </c>
      <c r="C19" s="13">
        <v>22</v>
      </c>
      <c r="D19" s="14">
        <v>4693.8912</v>
      </c>
      <c r="E19" s="15">
        <v>41.743299999999998</v>
      </c>
      <c r="F19" s="15">
        <v>43.598300000000002</v>
      </c>
      <c r="G19" s="15">
        <v>45.472900000000003</v>
      </c>
      <c r="H19" s="15">
        <v>12237.41</v>
      </c>
      <c r="I19" s="15">
        <v>22.26</v>
      </c>
      <c r="J19" s="16">
        <f t="shared" si="0"/>
        <v>3.3992805555555554</v>
      </c>
      <c r="L19" s="14">
        <v>4693.8912</v>
      </c>
      <c r="M19" s="15">
        <v>41.743299999999998</v>
      </c>
      <c r="N19" s="15">
        <v>43.598300000000002</v>
      </c>
      <c r="O19" s="15">
        <v>45.472900000000003</v>
      </c>
      <c r="P19" s="15">
        <v>12217.76</v>
      </c>
      <c r="Q19" s="15">
        <v>22.24</v>
      </c>
      <c r="R19" s="16">
        <f t="shared" si="1"/>
        <v>3.3938222222222221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2169.6448</v>
      </c>
      <c r="E20" s="25">
        <v>39.8474</v>
      </c>
      <c r="F20" s="25">
        <v>42.198500000000003</v>
      </c>
      <c r="G20" s="25">
        <v>43.534300000000002</v>
      </c>
      <c r="H20" s="25">
        <v>10215.92</v>
      </c>
      <c r="I20" s="25">
        <v>18.71</v>
      </c>
      <c r="J20" s="26">
        <f t="shared" si="0"/>
        <v>2.8377555555555554</v>
      </c>
      <c r="L20" s="24">
        <v>2169.6448</v>
      </c>
      <c r="M20" s="25">
        <v>39.8474</v>
      </c>
      <c r="N20" s="25">
        <v>42.198500000000003</v>
      </c>
      <c r="O20" s="25">
        <v>43.534300000000002</v>
      </c>
      <c r="P20" s="25">
        <v>10199.94</v>
      </c>
      <c r="Q20" s="25">
        <v>19.010000000000002</v>
      </c>
      <c r="R20" s="26">
        <f t="shared" si="1"/>
        <v>2.8333166666666667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1065.0039999999999</v>
      </c>
      <c r="E21" s="25">
        <v>37.5032</v>
      </c>
      <c r="F21" s="25">
        <v>40.988500000000002</v>
      </c>
      <c r="G21" s="25">
        <v>42.161999999999999</v>
      </c>
      <c r="H21" s="25">
        <v>8964.61</v>
      </c>
      <c r="I21" s="25">
        <v>17.059999999999999</v>
      </c>
      <c r="J21" s="26">
        <f t="shared" si="0"/>
        <v>2.4901694444444447</v>
      </c>
      <c r="L21" s="24">
        <v>1065.0039999999999</v>
      </c>
      <c r="M21" s="25">
        <v>37.5032</v>
      </c>
      <c r="N21" s="25">
        <v>40.988500000000002</v>
      </c>
      <c r="O21" s="25">
        <v>42.161999999999999</v>
      </c>
      <c r="P21" s="25">
        <v>8876.06</v>
      </c>
      <c r="Q21" s="25">
        <v>16.64</v>
      </c>
      <c r="R21" s="26">
        <f t="shared" si="1"/>
        <v>2.4655722222222223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541.54</v>
      </c>
      <c r="E22" s="34">
        <v>35.097499999999997</v>
      </c>
      <c r="F22" s="34">
        <v>40.116700000000002</v>
      </c>
      <c r="G22" s="34">
        <v>41.323399999999999</v>
      </c>
      <c r="H22" s="34">
        <v>8090.8</v>
      </c>
      <c r="I22" s="34">
        <v>15.28</v>
      </c>
      <c r="J22" s="35">
        <f t="shared" si="0"/>
        <v>2.2474444444444446</v>
      </c>
      <c r="L22" s="33">
        <v>541.54</v>
      </c>
      <c r="M22" s="34">
        <v>35.097499999999997</v>
      </c>
      <c r="N22" s="34">
        <v>40.116700000000002</v>
      </c>
      <c r="O22" s="34">
        <v>41.323399999999999</v>
      </c>
      <c r="P22" s="34">
        <v>7986.89</v>
      </c>
      <c r="Q22" s="34">
        <v>15.23</v>
      </c>
      <c r="R22" s="35">
        <f t="shared" si="1"/>
        <v>2.2185805555555556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7582.9040000000005</v>
      </c>
      <c r="E23" s="15">
        <v>40.145699999999998</v>
      </c>
      <c r="F23" s="15">
        <v>42.491399999999999</v>
      </c>
      <c r="G23" s="15">
        <v>43.935400000000001</v>
      </c>
      <c r="H23" s="15">
        <v>11095.73</v>
      </c>
      <c r="I23" s="15">
        <v>24.78</v>
      </c>
      <c r="J23" s="16">
        <f t="shared" si="0"/>
        <v>3.0821472222222219</v>
      </c>
      <c r="L23" s="14">
        <v>7582.9040000000005</v>
      </c>
      <c r="M23" s="15">
        <v>40.145699999999998</v>
      </c>
      <c r="N23" s="15">
        <v>42.491399999999999</v>
      </c>
      <c r="O23" s="15">
        <v>43.935400000000001</v>
      </c>
      <c r="P23" s="15">
        <v>11005.63</v>
      </c>
      <c r="Q23" s="15">
        <v>24.83</v>
      </c>
      <c r="R23" s="16">
        <f t="shared" si="1"/>
        <v>3.0571194444444441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3311.1080000000002</v>
      </c>
      <c r="E24" s="25">
        <v>37.588999999999999</v>
      </c>
      <c r="F24" s="25">
        <v>40.558100000000003</v>
      </c>
      <c r="G24" s="25">
        <v>41.613700000000001</v>
      </c>
      <c r="H24" s="25">
        <v>8961.76</v>
      </c>
      <c r="I24" s="25">
        <v>19.649999999999999</v>
      </c>
      <c r="J24" s="26">
        <f t="shared" si="0"/>
        <v>2.4893777777777779</v>
      </c>
      <c r="L24" s="24">
        <v>3311.1080000000002</v>
      </c>
      <c r="M24" s="25">
        <v>37.588999999999999</v>
      </c>
      <c r="N24" s="25">
        <v>40.558100000000003</v>
      </c>
      <c r="O24" s="25">
        <v>41.613700000000001</v>
      </c>
      <c r="P24" s="25">
        <v>8919.67</v>
      </c>
      <c r="Q24" s="25">
        <v>19.72</v>
      </c>
      <c r="R24" s="26">
        <f t="shared" si="1"/>
        <v>2.4776861111111113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1530.1415999999999</v>
      </c>
      <c r="E25" s="25">
        <v>34.962600000000002</v>
      </c>
      <c r="F25" s="25">
        <v>38.923699999999997</v>
      </c>
      <c r="G25" s="25">
        <v>40.029699999999998</v>
      </c>
      <c r="H25" s="25">
        <v>7914.24</v>
      </c>
      <c r="I25" s="25">
        <v>16.809999999999999</v>
      </c>
      <c r="J25" s="26">
        <f t="shared" si="0"/>
        <v>2.1983999999999999</v>
      </c>
      <c r="L25" s="24">
        <v>1530.1415999999999</v>
      </c>
      <c r="M25" s="25">
        <v>34.962600000000002</v>
      </c>
      <c r="N25" s="25">
        <v>38.923699999999997</v>
      </c>
      <c r="O25" s="25">
        <v>40.029699999999998</v>
      </c>
      <c r="P25" s="25">
        <v>7878.15</v>
      </c>
      <c r="Q25" s="25">
        <v>16.87</v>
      </c>
      <c r="R25" s="26">
        <f t="shared" si="1"/>
        <v>2.1883749999999997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714.30399999999997</v>
      </c>
      <c r="E26" s="34">
        <v>32.4435</v>
      </c>
      <c r="F26" s="34">
        <v>37.730200000000004</v>
      </c>
      <c r="G26" s="34">
        <v>39.118000000000002</v>
      </c>
      <c r="H26" s="34">
        <v>7247.67</v>
      </c>
      <c r="I26" s="34">
        <v>15.13</v>
      </c>
      <c r="J26" s="35">
        <f t="shared" si="0"/>
        <v>2.0132416666666666</v>
      </c>
      <c r="L26" s="33">
        <v>714.30399999999997</v>
      </c>
      <c r="M26" s="34">
        <v>32.4435</v>
      </c>
      <c r="N26" s="34">
        <v>37.730200000000004</v>
      </c>
      <c r="O26" s="34">
        <v>39.118000000000002</v>
      </c>
      <c r="P26" s="34">
        <v>7236.67</v>
      </c>
      <c r="Q26" s="34">
        <v>15.21</v>
      </c>
      <c r="R26" s="35">
        <f t="shared" si="1"/>
        <v>2.010186111111111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18062.5</v>
      </c>
      <c r="E27" s="15">
        <v>38.528100000000002</v>
      </c>
      <c r="F27" s="15">
        <v>40.076599999999999</v>
      </c>
      <c r="G27" s="15">
        <v>43.741700000000002</v>
      </c>
      <c r="H27" s="15">
        <v>26830.1</v>
      </c>
      <c r="I27" s="15">
        <v>51.57</v>
      </c>
      <c r="J27" s="16">
        <f t="shared" si="0"/>
        <v>7.452805555555555</v>
      </c>
      <c r="L27" s="14">
        <v>18062.5</v>
      </c>
      <c r="M27" s="15">
        <v>38.528100000000002</v>
      </c>
      <c r="N27" s="15">
        <v>40.076599999999999</v>
      </c>
      <c r="O27" s="15">
        <v>43.741700000000002</v>
      </c>
      <c r="P27" s="15">
        <v>26616.37</v>
      </c>
      <c r="Q27" s="15">
        <v>50.63</v>
      </c>
      <c r="R27" s="16">
        <f t="shared" si="1"/>
        <v>7.3934361111111109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5672.6567999999997</v>
      </c>
      <c r="E28" s="25">
        <v>36.890700000000002</v>
      </c>
      <c r="F28" s="25">
        <v>39.101599999999998</v>
      </c>
      <c r="G28" s="25">
        <v>41.939</v>
      </c>
      <c r="H28" s="25">
        <v>20443.810000000001</v>
      </c>
      <c r="I28" s="25">
        <v>36.86</v>
      </c>
      <c r="J28" s="26">
        <f t="shared" si="0"/>
        <v>5.6788361111111119</v>
      </c>
      <c r="L28" s="24">
        <v>5672.6567999999997</v>
      </c>
      <c r="M28" s="25">
        <v>36.890700000000002</v>
      </c>
      <c r="N28" s="25">
        <v>39.101599999999998</v>
      </c>
      <c r="O28" s="25">
        <v>41.939</v>
      </c>
      <c r="P28" s="25">
        <v>20306.509999999998</v>
      </c>
      <c r="Q28" s="25">
        <v>37.08</v>
      </c>
      <c r="R28" s="26">
        <f t="shared" si="1"/>
        <v>5.6406972222222214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2657.1255999999998</v>
      </c>
      <c r="E29" s="25">
        <v>34.961199999999998</v>
      </c>
      <c r="F29" s="25">
        <v>38.248399999999997</v>
      </c>
      <c r="G29" s="25">
        <v>40.329300000000003</v>
      </c>
      <c r="H29" s="25">
        <v>17676.669999999998</v>
      </c>
      <c r="I29" s="25">
        <v>32.729999999999997</v>
      </c>
      <c r="J29" s="26">
        <f t="shared" si="0"/>
        <v>4.9101861111111109</v>
      </c>
      <c r="L29" s="24">
        <v>2657.1255999999998</v>
      </c>
      <c r="M29" s="25">
        <v>34.961199999999998</v>
      </c>
      <c r="N29" s="25">
        <v>38.248399999999997</v>
      </c>
      <c r="O29" s="25">
        <v>40.329300000000003</v>
      </c>
      <c r="P29" s="25">
        <v>17639.38</v>
      </c>
      <c r="Q29" s="25">
        <v>32.33</v>
      </c>
      <c r="R29" s="26">
        <f t="shared" si="1"/>
        <v>4.8998277777777783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1363.0776000000001</v>
      </c>
      <c r="E30" s="34">
        <v>32.765799999999999</v>
      </c>
      <c r="F30" s="34">
        <v>37.546799999999998</v>
      </c>
      <c r="G30" s="34">
        <v>39.154800000000002</v>
      </c>
      <c r="H30" s="34">
        <v>16140.83</v>
      </c>
      <c r="I30" s="34">
        <v>29.79</v>
      </c>
      <c r="J30" s="35">
        <f t="shared" si="0"/>
        <v>4.4835638888888889</v>
      </c>
      <c r="L30" s="33">
        <v>1363.0776000000001</v>
      </c>
      <c r="M30" s="34">
        <v>32.765799999999999</v>
      </c>
      <c r="N30" s="34">
        <v>37.546799999999998</v>
      </c>
      <c r="O30" s="34">
        <v>39.154800000000002</v>
      </c>
      <c r="P30" s="34">
        <v>16130.58</v>
      </c>
      <c r="Q30" s="34">
        <v>29.56</v>
      </c>
      <c r="R30" s="35">
        <f t="shared" si="1"/>
        <v>4.4807166666666669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17074.290400000002</v>
      </c>
      <c r="E31" s="15">
        <v>39.215699999999998</v>
      </c>
      <c r="F31" s="15">
        <v>43.923299999999998</v>
      </c>
      <c r="G31" s="15">
        <v>45.169199999999996</v>
      </c>
      <c r="H31" s="15">
        <v>31107.360000000001</v>
      </c>
      <c r="I31" s="15">
        <v>54.14</v>
      </c>
      <c r="J31" s="16">
        <f t="shared" si="0"/>
        <v>8.6409333333333329</v>
      </c>
      <c r="L31" s="14">
        <v>17074.290400000002</v>
      </c>
      <c r="M31" s="15">
        <v>39.215699999999998</v>
      </c>
      <c r="N31" s="15">
        <v>43.923299999999998</v>
      </c>
      <c r="O31" s="15">
        <v>45.169199999999996</v>
      </c>
      <c r="P31" s="15">
        <v>31229.42</v>
      </c>
      <c r="Q31" s="15">
        <v>53.83</v>
      </c>
      <c r="R31" s="16">
        <f t="shared" si="1"/>
        <v>8.674838888888889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5947.424</v>
      </c>
      <c r="E32" s="25">
        <v>37.524799999999999</v>
      </c>
      <c r="F32" s="25">
        <v>42.619100000000003</v>
      </c>
      <c r="G32" s="25">
        <v>43.123199999999997</v>
      </c>
      <c r="H32" s="25">
        <v>24962.76</v>
      </c>
      <c r="I32" s="25">
        <v>42.16</v>
      </c>
      <c r="J32" s="26">
        <f t="shared" si="0"/>
        <v>6.9340999999999999</v>
      </c>
      <c r="L32" s="24">
        <v>5947.424</v>
      </c>
      <c r="M32" s="25">
        <v>37.524799999999999</v>
      </c>
      <c r="N32" s="25">
        <v>42.619100000000003</v>
      </c>
      <c r="O32" s="25">
        <v>43.123199999999997</v>
      </c>
      <c r="P32" s="25">
        <v>24849.49</v>
      </c>
      <c r="Q32" s="25">
        <v>41.22</v>
      </c>
      <c r="R32" s="26">
        <f t="shared" si="1"/>
        <v>6.9026361111111116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2790.88</v>
      </c>
      <c r="E33" s="25">
        <v>35.661999999999999</v>
      </c>
      <c r="F33" s="25">
        <v>41.332500000000003</v>
      </c>
      <c r="G33" s="25">
        <v>41.215000000000003</v>
      </c>
      <c r="H33" s="25">
        <v>21420.34</v>
      </c>
      <c r="I33" s="25">
        <v>36.83</v>
      </c>
      <c r="J33" s="26">
        <f t="shared" si="0"/>
        <v>5.9500944444444448</v>
      </c>
      <c r="L33" s="24">
        <v>2790.88</v>
      </c>
      <c r="M33" s="25">
        <v>35.661999999999999</v>
      </c>
      <c r="N33" s="25">
        <v>41.332500000000003</v>
      </c>
      <c r="O33" s="25">
        <v>41.215000000000003</v>
      </c>
      <c r="P33" s="25">
        <v>21650.43</v>
      </c>
      <c r="Q33" s="25">
        <v>36.619999999999997</v>
      </c>
      <c r="R33" s="26">
        <f t="shared" si="1"/>
        <v>6.0140083333333338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1465.9087999999999</v>
      </c>
      <c r="E34" s="34">
        <v>33.656300000000002</v>
      </c>
      <c r="F34" s="34">
        <v>40.349800000000002</v>
      </c>
      <c r="G34" s="34">
        <v>39.9054</v>
      </c>
      <c r="H34" s="34">
        <v>19214.95</v>
      </c>
      <c r="I34" s="34">
        <v>34.22</v>
      </c>
      <c r="J34" s="35">
        <f t="shared" si="0"/>
        <v>5.3374861111111116</v>
      </c>
      <c r="L34" s="33">
        <v>1465.9087999999999</v>
      </c>
      <c r="M34" s="34">
        <v>33.656300000000002</v>
      </c>
      <c r="N34" s="34">
        <v>40.349800000000002</v>
      </c>
      <c r="O34" s="34">
        <v>39.9054</v>
      </c>
      <c r="P34" s="34">
        <v>19162.150000000001</v>
      </c>
      <c r="Q34" s="34">
        <v>33.119999999999997</v>
      </c>
      <c r="R34" s="35">
        <f t="shared" si="1"/>
        <v>5.3228194444444448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39448.572800000002</v>
      </c>
      <c r="E35" s="15">
        <v>37.474800000000002</v>
      </c>
      <c r="F35" s="15">
        <v>42.208599999999997</v>
      </c>
      <c r="G35" s="15">
        <v>44.440899999999999</v>
      </c>
      <c r="H35" s="15">
        <v>36265.730000000003</v>
      </c>
      <c r="I35" s="15">
        <v>80.400000000000006</v>
      </c>
      <c r="J35" s="16">
        <f t="shared" si="0"/>
        <v>10.073813888888889</v>
      </c>
      <c r="L35" s="14">
        <v>39448.572800000002</v>
      </c>
      <c r="M35" s="15">
        <v>37.474800000000002</v>
      </c>
      <c r="N35" s="15">
        <v>42.208599999999997</v>
      </c>
      <c r="O35" s="15">
        <v>44.440899999999999</v>
      </c>
      <c r="P35" s="15">
        <v>36307.480000000003</v>
      </c>
      <c r="Q35" s="15">
        <v>79.95</v>
      </c>
      <c r="R35" s="16">
        <f t="shared" si="1"/>
        <v>10.085411111111112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7294.5079999999998</v>
      </c>
      <c r="E36" s="25">
        <v>35.328400000000002</v>
      </c>
      <c r="F36" s="25">
        <v>40.875799999999998</v>
      </c>
      <c r="G36" s="25">
        <v>43.2376</v>
      </c>
      <c r="H36" s="25">
        <v>22999.43</v>
      </c>
      <c r="I36" s="25">
        <v>47.25</v>
      </c>
      <c r="J36" s="26">
        <f t="shared" si="0"/>
        <v>6.388730555555556</v>
      </c>
      <c r="L36" s="24">
        <v>7294.5079999999998</v>
      </c>
      <c r="M36" s="25">
        <v>35.328400000000002</v>
      </c>
      <c r="N36" s="25">
        <v>40.875799999999998</v>
      </c>
      <c r="O36" s="25">
        <v>43.2376</v>
      </c>
      <c r="P36" s="25">
        <v>22952.97</v>
      </c>
      <c r="Q36" s="25">
        <v>47.11</v>
      </c>
      <c r="R36" s="26">
        <f t="shared" si="1"/>
        <v>6.3758250000000007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2247.4023999999999</v>
      </c>
      <c r="E37" s="25">
        <v>33.860399999999998</v>
      </c>
      <c r="F37" s="25">
        <v>39.643500000000003</v>
      </c>
      <c r="G37" s="25">
        <v>42.174999999999997</v>
      </c>
      <c r="H37" s="25">
        <v>19369.439999999999</v>
      </c>
      <c r="I37" s="25">
        <v>39.21</v>
      </c>
      <c r="J37" s="26">
        <f t="shared" si="0"/>
        <v>5.3803999999999998</v>
      </c>
      <c r="L37" s="24">
        <v>2247.4023999999999</v>
      </c>
      <c r="M37" s="25">
        <v>33.860399999999998</v>
      </c>
      <c r="N37" s="25">
        <v>39.643500000000003</v>
      </c>
      <c r="O37" s="25">
        <v>42.174999999999997</v>
      </c>
      <c r="P37" s="25">
        <v>19310.03</v>
      </c>
      <c r="Q37" s="25">
        <v>38.4</v>
      </c>
      <c r="R37" s="26">
        <f t="shared" si="1"/>
        <v>5.3638972222222217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960.05200000000002</v>
      </c>
      <c r="E38" s="34">
        <v>31.956499999999998</v>
      </c>
      <c r="F38" s="34">
        <v>38.707099999999997</v>
      </c>
      <c r="G38" s="34">
        <v>41.284399999999998</v>
      </c>
      <c r="H38" s="34">
        <v>18137.32</v>
      </c>
      <c r="I38" s="34">
        <v>36.299999999999997</v>
      </c>
      <c r="J38" s="35">
        <f t="shared" si="0"/>
        <v>5.0381444444444448</v>
      </c>
      <c r="L38" s="33">
        <v>960.05200000000002</v>
      </c>
      <c r="M38" s="34">
        <v>31.956499999999998</v>
      </c>
      <c r="N38" s="34">
        <v>38.707099999999997</v>
      </c>
      <c r="O38" s="34">
        <v>41.284399999999998</v>
      </c>
      <c r="P38" s="34">
        <v>17909.22</v>
      </c>
      <c r="Q38" s="34">
        <v>35.24</v>
      </c>
      <c r="R38" s="35">
        <f t="shared" si="1"/>
        <v>4.9747833333333338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3415.9047999999998</v>
      </c>
      <c r="E39" s="15">
        <v>40.564</v>
      </c>
      <c r="F39" s="15">
        <v>43.139400000000002</v>
      </c>
      <c r="G39" s="15">
        <v>43.698799999999999</v>
      </c>
      <c r="H39" s="15">
        <v>5709.4</v>
      </c>
      <c r="I39" s="15">
        <v>10.65</v>
      </c>
      <c r="J39" s="16">
        <f t="shared" si="0"/>
        <v>1.5859444444444444</v>
      </c>
      <c r="L39" s="14">
        <v>3415.9047999999998</v>
      </c>
      <c r="M39" s="15">
        <v>40.564</v>
      </c>
      <c r="N39" s="15">
        <v>43.139400000000002</v>
      </c>
      <c r="O39" s="15">
        <v>43.698799999999999</v>
      </c>
      <c r="P39" s="15">
        <v>5701.52</v>
      </c>
      <c r="Q39" s="15">
        <v>10.54</v>
      </c>
      <c r="R39" s="16">
        <f t="shared" si="1"/>
        <v>1.5837555555555556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1651.0296000000001</v>
      </c>
      <c r="E40" s="25">
        <v>37.388800000000003</v>
      </c>
      <c r="F40" s="25">
        <v>40.682299999999998</v>
      </c>
      <c r="G40" s="25">
        <v>40.8416</v>
      </c>
      <c r="H40" s="25">
        <v>4759.8599999999997</v>
      </c>
      <c r="I40" s="25">
        <v>8.6</v>
      </c>
      <c r="J40" s="26">
        <f t="shared" si="0"/>
        <v>1.3221833333333333</v>
      </c>
      <c r="L40" s="24">
        <v>1651.0296000000001</v>
      </c>
      <c r="M40" s="25">
        <v>37.388800000000003</v>
      </c>
      <c r="N40" s="25">
        <v>40.682299999999998</v>
      </c>
      <c r="O40" s="25">
        <v>40.8416</v>
      </c>
      <c r="P40" s="25">
        <v>4742.53</v>
      </c>
      <c r="Q40" s="25">
        <v>8.56</v>
      </c>
      <c r="R40" s="26">
        <f t="shared" si="1"/>
        <v>1.3173694444444444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809.548</v>
      </c>
      <c r="E41" s="25">
        <v>34.418399999999998</v>
      </c>
      <c r="F41" s="25">
        <v>38.545699999999997</v>
      </c>
      <c r="G41" s="25">
        <v>38.476700000000001</v>
      </c>
      <c r="H41" s="25">
        <v>4076.34</v>
      </c>
      <c r="I41" s="25">
        <v>7.22</v>
      </c>
      <c r="J41" s="26">
        <f t="shared" si="0"/>
        <v>1.1323166666666666</v>
      </c>
      <c r="L41" s="24">
        <v>809.548</v>
      </c>
      <c r="M41" s="25">
        <v>34.418399999999998</v>
      </c>
      <c r="N41" s="25">
        <v>38.545699999999997</v>
      </c>
      <c r="O41" s="25">
        <v>38.476700000000001</v>
      </c>
      <c r="P41" s="25">
        <v>4030.61</v>
      </c>
      <c r="Q41" s="25">
        <v>7.07</v>
      </c>
      <c r="R41" s="26">
        <f t="shared" si="1"/>
        <v>1.1196138888888889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428.21519999999998</v>
      </c>
      <c r="E42" s="34">
        <v>31.862400000000001</v>
      </c>
      <c r="F42" s="34">
        <v>37.104799999999997</v>
      </c>
      <c r="G42" s="34">
        <v>36.811500000000002</v>
      </c>
      <c r="H42" s="34">
        <v>3560.33</v>
      </c>
      <c r="I42" s="34">
        <v>6.42</v>
      </c>
      <c r="J42" s="35">
        <f t="shared" si="0"/>
        <v>0.98898055555555553</v>
      </c>
      <c r="L42" s="33">
        <v>428.21519999999998</v>
      </c>
      <c r="M42" s="34">
        <v>31.862400000000001</v>
      </c>
      <c r="N42" s="34">
        <v>37.104799999999997</v>
      </c>
      <c r="O42" s="34">
        <v>36.811500000000002</v>
      </c>
      <c r="P42" s="34">
        <v>3553.48</v>
      </c>
      <c r="Q42" s="34">
        <v>6.44</v>
      </c>
      <c r="R42" s="35">
        <f t="shared" si="1"/>
        <v>0.98707777777777783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3592.9584</v>
      </c>
      <c r="E43" s="15">
        <v>40.301000000000002</v>
      </c>
      <c r="F43" s="15">
        <v>43.664700000000003</v>
      </c>
      <c r="G43" s="15">
        <v>45.220700000000001</v>
      </c>
      <c r="H43" s="15">
        <v>5981.62</v>
      </c>
      <c r="I43" s="15">
        <v>11.83</v>
      </c>
      <c r="J43" s="16">
        <f t="shared" si="0"/>
        <v>1.661561111111111</v>
      </c>
      <c r="L43" s="14">
        <v>3592.9584</v>
      </c>
      <c r="M43" s="15">
        <v>40.301000000000002</v>
      </c>
      <c r="N43" s="15">
        <v>43.664700000000003</v>
      </c>
      <c r="O43" s="15">
        <v>45.220700000000001</v>
      </c>
      <c r="P43" s="15">
        <v>5976.08</v>
      </c>
      <c r="Q43" s="15">
        <v>11.59</v>
      </c>
      <c r="R43" s="16">
        <f t="shared" si="1"/>
        <v>1.6600222222222223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1690.1912</v>
      </c>
      <c r="E44" s="25">
        <v>37.731699999999996</v>
      </c>
      <c r="F44" s="25">
        <v>41.653100000000002</v>
      </c>
      <c r="G44" s="25">
        <v>42.823900000000002</v>
      </c>
      <c r="H44" s="25">
        <v>5023.46</v>
      </c>
      <c r="I44" s="25">
        <v>9.64</v>
      </c>
      <c r="J44" s="26">
        <f t="shared" si="0"/>
        <v>1.3954055555555556</v>
      </c>
      <c r="L44" s="24">
        <v>1690.1912</v>
      </c>
      <c r="M44" s="25">
        <v>37.731699999999996</v>
      </c>
      <c r="N44" s="25">
        <v>41.653100000000002</v>
      </c>
      <c r="O44" s="25">
        <v>42.823900000000002</v>
      </c>
      <c r="P44" s="25">
        <v>5041.22</v>
      </c>
      <c r="Q44" s="25">
        <v>9.6</v>
      </c>
      <c r="R44" s="26">
        <f t="shared" si="1"/>
        <v>1.400338888888889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849.32</v>
      </c>
      <c r="E45" s="25">
        <v>34.944099999999999</v>
      </c>
      <c r="F45" s="25">
        <v>39.943800000000003</v>
      </c>
      <c r="G45" s="25">
        <v>40.857500000000002</v>
      </c>
      <c r="H45" s="25">
        <v>4465.54</v>
      </c>
      <c r="I45" s="25">
        <v>8.4700000000000006</v>
      </c>
      <c r="J45" s="26">
        <f t="shared" si="0"/>
        <v>1.2404277777777777</v>
      </c>
      <c r="L45" s="24">
        <v>849.32</v>
      </c>
      <c r="M45" s="25">
        <v>34.944099999999999</v>
      </c>
      <c r="N45" s="25">
        <v>39.943800000000003</v>
      </c>
      <c r="O45" s="25">
        <v>40.857500000000002</v>
      </c>
      <c r="P45" s="25">
        <v>4419.5200000000004</v>
      </c>
      <c r="Q45" s="25">
        <v>8.34</v>
      </c>
      <c r="R45" s="26">
        <f t="shared" si="1"/>
        <v>1.2276444444444445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447.55200000000002</v>
      </c>
      <c r="E46" s="34">
        <v>32.162100000000002</v>
      </c>
      <c r="F46" s="34">
        <v>38.646500000000003</v>
      </c>
      <c r="G46" s="34">
        <v>39.457900000000002</v>
      </c>
      <c r="H46" s="34">
        <v>3988.44</v>
      </c>
      <c r="I46" s="34">
        <v>7.64</v>
      </c>
      <c r="J46" s="35">
        <f t="shared" si="0"/>
        <v>1.1079000000000001</v>
      </c>
      <c r="L46" s="33">
        <v>447.55200000000002</v>
      </c>
      <c r="M46" s="34">
        <v>32.162100000000002</v>
      </c>
      <c r="N46" s="34">
        <v>38.646500000000003</v>
      </c>
      <c r="O46" s="34">
        <v>39.457900000000002</v>
      </c>
      <c r="P46" s="34">
        <v>4037.98</v>
      </c>
      <c r="Q46" s="34">
        <v>7.63</v>
      </c>
      <c r="R46" s="35">
        <f t="shared" si="1"/>
        <v>1.1216611111111112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6791.7295999999997</v>
      </c>
      <c r="E47" s="15">
        <v>38.329599999999999</v>
      </c>
      <c r="F47" s="15">
        <v>41.499499999999998</v>
      </c>
      <c r="G47" s="15">
        <v>42.558700000000002</v>
      </c>
      <c r="H47" s="15">
        <v>6081.08</v>
      </c>
      <c r="I47" s="15">
        <v>12.81</v>
      </c>
      <c r="J47" s="16">
        <f t="shared" si="0"/>
        <v>1.6891888888888889</v>
      </c>
      <c r="L47" s="14">
        <v>6791.7295999999997</v>
      </c>
      <c r="M47" s="15">
        <v>38.329599999999999</v>
      </c>
      <c r="N47" s="15">
        <v>41.499499999999998</v>
      </c>
      <c r="O47" s="15">
        <v>42.558700000000002</v>
      </c>
      <c r="P47" s="15">
        <v>6098.16</v>
      </c>
      <c r="Q47" s="15">
        <v>12.72</v>
      </c>
      <c r="R47" s="16">
        <f t="shared" si="1"/>
        <v>1.6939333333333333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3097.3112000000001</v>
      </c>
      <c r="E48" s="25">
        <v>34.767200000000003</v>
      </c>
      <c r="F48" s="25">
        <v>38.909700000000001</v>
      </c>
      <c r="G48" s="25">
        <v>39.837699999999998</v>
      </c>
      <c r="H48" s="25">
        <v>4810.08</v>
      </c>
      <c r="I48" s="25">
        <v>9.92</v>
      </c>
      <c r="J48" s="26">
        <f t="shared" si="0"/>
        <v>1.3361333333333334</v>
      </c>
      <c r="L48" s="24">
        <v>3097.3112000000001</v>
      </c>
      <c r="M48" s="25">
        <v>34.767200000000003</v>
      </c>
      <c r="N48" s="25">
        <v>38.909700000000001</v>
      </c>
      <c r="O48" s="25">
        <v>39.837699999999998</v>
      </c>
      <c r="P48" s="25">
        <v>4769.12</v>
      </c>
      <c r="Q48" s="25">
        <v>9.99</v>
      </c>
      <c r="R48" s="26">
        <f t="shared" si="1"/>
        <v>1.3247555555555555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1459.296</v>
      </c>
      <c r="E49" s="25">
        <v>31.593800000000002</v>
      </c>
      <c r="F49" s="25">
        <v>37.003500000000003</v>
      </c>
      <c r="G49" s="25">
        <v>37.802599999999998</v>
      </c>
      <c r="H49" s="25">
        <v>3970.55</v>
      </c>
      <c r="I49" s="25">
        <v>8.07</v>
      </c>
      <c r="J49" s="26">
        <f t="shared" si="0"/>
        <v>1.1029305555555555</v>
      </c>
      <c r="L49" s="24">
        <v>1459.296</v>
      </c>
      <c r="M49" s="25">
        <v>31.593800000000002</v>
      </c>
      <c r="N49" s="25">
        <v>37.003500000000003</v>
      </c>
      <c r="O49" s="25">
        <v>37.802599999999998</v>
      </c>
      <c r="P49" s="25">
        <v>3961.98</v>
      </c>
      <c r="Q49" s="25">
        <v>8.11</v>
      </c>
      <c r="R49" s="26">
        <f t="shared" si="1"/>
        <v>1.1005499999999999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689.28240000000005</v>
      </c>
      <c r="E50" s="34">
        <v>28.6508</v>
      </c>
      <c r="F50" s="34">
        <v>35.706299999999999</v>
      </c>
      <c r="G50" s="34">
        <v>36.439500000000002</v>
      </c>
      <c r="H50" s="34">
        <v>3468.69</v>
      </c>
      <c r="I50" s="34">
        <v>6.96</v>
      </c>
      <c r="J50" s="35">
        <f t="shared" si="0"/>
        <v>0.96352499999999996</v>
      </c>
      <c r="L50" s="33">
        <v>689.28240000000005</v>
      </c>
      <c r="M50" s="34">
        <v>28.6508</v>
      </c>
      <c r="N50" s="34">
        <v>35.706299999999999</v>
      </c>
      <c r="O50" s="34">
        <v>36.439500000000002</v>
      </c>
      <c r="P50" s="34">
        <v>3460.13</v>
      </c>
      <c r="Q50" s="34">
        <v>7.19</v>
      </c>
      <c r="R50" s="35">
        <f t="shared" si="1"/>
        <v>0.96114722222222226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4752.5648000000001</v>
      </c>
      <c r="E51" s="15">
        <v>39.105499999999999</v>
      </c>
      <c r="F51" s="15">
        <v>41.441499999999998</v>
      </c>
      <c r="G51" s="15">
        <v>42.947699999999998</v>
      </c>
      <c r="H51" s="15">
        <v>4747.8900000000003</v>
      </c>
      <c r="I51" s="15">
        <v>8.8000000000000007</v>
      </c>
      <c r="J51" s="16">
        <f t="shared" si="0"/>
        <v>1.3188583333333335</v>
      </c>
      <c r="L51" s="14">
        <v>4752.5648000000001</v>
      </c>
      <c r="M51" s="15">
        <v>39.105499999999999</v>
      </c>
      <c r="N51" s="15">
        <v>41.441499999999998</v>
      </c>
      <c r="O51" s="15">
        <v>42.947699999999998</v>
      </c>
      <c r="P51" s="15">
        <v>4736.5600000000004</v>
      </c>
      <c r="Q51" s="15">
        <v>8.7200000000000006</v>
      </c>
      <c r="R51" s="16">
        <f t="shared" si="1"/>
        <v>1.3157111111111113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2018.1296</v>
      </c>
      <c r="E52" s="25">
        <v>35.869900000000001</v>
      </c>
      <c r="F52" s="25">
        <v>39.104900000000001</v>
      </c>
      <c r="G52" s="25">
        <v>40.741999999999997</v>
      </c>
      <c r="H52" s="25">
        <v>3802.07</v>
      </c>
      <c r="I52" s="25">
        <v>6.58</v>
      </c>
      <c r="J52" s="26">
        <f t="shared" si="0"/>
        <v>1.0561305555555556</v>
      </c>
      <c r="L52" s="24">
        <v>2018.1296</v>
      </c>
      <c r="M52" s="25">
        <v>35.869900000000001</v>
      </c>
      <c r="N52" s="25">
        <v>39.104900000000001</v>
      </c>
      <c r="O52" s="25">
        <v>40.741999999999997</v>
      </c>
      <c r="P52" s="25">
        <v>3802.32</v>
      </c>
      <c r="Q52" s="25">
        <v>6.65</v>
      </c>
      <c r="R52" s="26">
        <f t="shared" si="1"/>
        <v>1.0562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943.48720000000003</v>
      </c>
      <c r="E53" s="25">
        <v>32.980699999999999</v>
      </c>
      <c r="F53" s="25">
        <v>37.191899999999997</v>
      </c>
      <c r="G53" s="25">
        <v>38.939300000000003</v>
      </c>
      <c r="H53" s="25">
        <v>3118.97</v>
      </c>
      <c r="I53" s="25">
        <v>5.34</v>
      </c>
      <c r="J53" s="26">
        <f t="shared" si="0"/>
        <v>0.86638055555555549</v>
      </c>
      <c r="L53" s="24">
        <v>943.48720000000003</v>
      </c>
      <c r="M53" s="25">
        <v>32.980699999999999</v>
      </c>
      <c r="N53" s="25">
        <v>37.191899999999997</v>
      </c>
      <c r="O53" s="25">
        <v>38.939300000000003</v>
      </c>
      <c r="P53" s="25">
        <v>3119.32</v>
      </c>
      <c r="Q53" s="25">
        <v>5.34</v>
      </c>
      <c r="R53" s="26">
        <f t="shared" si="1"/>
        <v>0.86647777777777779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461.33199999999999</v>
      </c>
      <c r="E54" s="34">
        <v>30.338999999999999</v>
      </c>
      <c r="F54" s="34">
        <v>35.938600000000001</v>
      </c>
      <c r="G54" s="34">
        <v>37.679000000000002</v>
      </c>
      <c r="H54" s="34">
        <v>2664.43</v>
      </c>
      <c r="I54" s="34">
        <v>4.57</v>
      </c>
      <c r="J54" s="35">
        <f t="shared" si="0"/>
        <v>0.74011944444444444</v>
      </c>
      <c r="L54" s="33">
        <v>461.33199999999999</v>
      </c>
      <c r="M54" s="34">
        <v>30.338999999999999</v>
      </c>
      <c r="N54" s="34">
        <v>35.938600000000001</v>
      </c>
      <c r="O54" s="34">
        <v>37.679000000000002</v>
      </c>
      <c r="P54" s="34">
        <v>2653.27</v>
      </c>
      <c r="Q54" s="34">
        <v>4.5599999999999996</v>
      </c>
      <c r="R54" s="35">
        <f t="shared" si="1"/>
        <v>0.73701944444444445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1499.712</v>
      </c>
      <c r="E55" s="15">
        <v>40.770899999999997</v>
      </c>
      <c r="F55" s="15">
        <v>44.025799999999997</v>
      </c>
      <c r="G55" s="15">
        <v>43.154899999999998</v>
      </c>
      <c r="H55" s="15">
        <v>1560.75</v>
      </c>
      <c r="I55" s="15">
        <v>3.2</v>
      </c>
      <c r="J55" s="16">
        <f t="shared" si="0"/>
        <v>0.43354166666666666</v>
      </c>
      <c r="L55" s="14">
        <v>1499.712</v>
      </c>
      <c r="M55" s="15">
        <v>40.770899999999997</v>
      </c>
      <c r="N55" s="15">
        <v>44.025799999999997</v>
      </c>
      <c r="O55" s="15">
        <v>43.154899999999998</v>
      </c>
      <c r="P55" s="15">
        <v>1559.17</v>
      </c>
      <c r="Q55" s="15">
        <v>3.21</v>
      </c>
      <c r="R55" s="16">
        <f t="shared" si="1"/>
        <v>0.43310277777777778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751.34640000000002</v>
      </c>
      <c r="E56" s="25">
        <v>36.9499</v>
      </c>
      <c r="F56" s="25">
        <v>41.314799999999998</v>
      </c>
      <c r="G56" s="25">
        <v>40.0944</v>
      </c>
      <c r="H56" s="25">
        <v>1325.45</v>
      </c>
      <c r="I56" s="25">
        <v>2.63</v>
      </c>
      <c r="J56" s="26">
        <f t="shared" si="0"/>
        <v>0.36818055555555557</v>
      </c>
      <c r="L56" s="24">
        <v>751.34640000000002</v>
      </c>
      <c r="M56" s="25">
        <v>36.9499</v>
      </c>
      <c r="N56" s="25">
        <v>41.314799999999998</v>
      </c>
      <c r="O56" s="25">
        <v>40.0944</v>
      </c>
      <c r="P56" s="25">
        <v>1316.97</v>
      </c>
      <c r="Q56" s="25">
        <v>2.66</v>
      </c>
      <c r="R56" s="26">
        <f t="shared" si="1"/>
        <v>0.36582500000000001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370.44880000000001</v>
      </c>
      <c r="E57" s="25">
        <v>33.561999999999998</v>
      </c>
      <c r="F57" s="25">
        <v>39.186999999999998</v>
      </c>
      <c r="G57" s="25">
        <v>37.670200000000001</v>
      </c>
      <c r="H57" s="25">
        <v>1120.6600000000001</v>
      </c>
      <c r="I57" s="25">
        <v>2.19</v>
      </c>
      <c r="J57" s="26">
        <f t="shared" si="0"/>
        <v>0.31129444444444448</v>
      </c>
      <c r="L57" s="24">
        <v>370.44880000000001</v>
      </c>
      <c r="M57" s="25">
        <v>33.561999999999998</v>
      </c>
      <c r="N57" s="25">
        <v>39.186999999999998</v>
      </c>
      <c r="O57" s="25">
        <v>37.670200000000001</v>
      </c>
      <c r="P57" s="25">
        <v>1109.72</v>
      </c>
      <c r="Q57" s="25">
        <v>2.23</v>
      </c>
      <c r="R57" s="26">
        <f t="shared" si="1"/>
        <v>0.30825555555555556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192.4256</v>
      </c>
      <c r="E58" s="34">
        <v>30.760999999999999</v>
      </c>
      <c r="F58" s="34">
        <v>37.783000000000001</v>
      </c>
      <c r="G58" s="34">
        <v>36.130200000000002</v>
      </c>
      <c r="H58" s="34">
        <v>974.43</v>
      </c>
      <c r="I58" s="34">
        <v>1.96</v>
      </c>
      <c r="J58" s="35">
        <f t="shared" si="0"/>
        <v>0.270675</v>
      </c>
      <c r="L58" s="33">
        <v>192.4256</v>
      </c>
      <c r="M58" s="34">
        <v>30.760999999999999</v>
      </c>
      <c r="N58" s="34">
        <v>37.783000000000001</v>
      </c>
      <c r="O58" s="34">
        <v>36.130200000000002</v>
      </c>
      <c r="P58" s="34">
        <v>970.8</v>
      </c>
      <c r="Q58" s="34">
        <v>1.99</v>
      </c>
      <c r="R58" s="35">
        <f t="shared" si="1"/>
        <v>0.26966666666666667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1627.4336000000001</v>
      </c>
      <c r="E59" s="15">
        <v>38.099499999999999</v>
      </c>
      <c r="F59" s="15">
        <v>43.287100000000002</v>
      </c>
      <c r="G59" s="15">
        <v>44.333100000000002</v>
      </c>
      <c r="H59" s="15">
        <v>1584.92</v>
      </c>
      <c r="I59" s="15">
        <v>3.71</v>
      </c>
      <c r="J59" s="16">
        <f t="shared" si="0"/>
        <v>0.44025555555555557</v>
      </c>
      <c r="L59" s="14">
        <v>1627.4336000000001</v>
      </c>
      <c r="M59" s="15">
        <v>38.099499999999999</v>
      </c>
      <c r="N59" s="15">
        <v>43.287100000000002</v>
      </c>
      <c r="O59" s="15">
        <v>44.333100000000002</v>
      </c>
      <c r="P59" s="15">
        <v>1577.32</v>
      </c>
      <c r="Q59" s="15">
        <v>3.82</v>
      </c>
      <c r="R59" s="16">
        <f t="shared" si="1"/>
        <v>0.43814444444444445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632.44159999999999</v>
      </c>
      <c r="E60" s="25">
        <v>34.7134</v>
      </c>
      <c r="F60" s="25">
        <v>41.112400000000001</v>
      </c>
      <c r="G60" s="25">
        <v>42.127600000000001</v>
      </c>
      <c r="H60" s="25">
        <v>1167.33</v>
      </c>
      <c r="I60" s="25">
        <v>2.83</v>
      </c>
      <c r="J60" s="26">
        <f t="shared" si="0"/>
        <v>0.32425833333333332</v>
      </c>
      <c r="L60" s="24">
        <v>632.44159999999999</v>
      </c>
      <c r="M60" s="25">
        <v>34.7134</v>
      </c>
      <c r="N60" s="25">
        <v>41.112400000000001</v>
      </c>
      <c r="O60" s="25">
        <v>42.127600000000001</v>
      </c>
      <c r="P60" s="25">
        <v>1160.28</v>
      </c>
      <c r="Q60" s="25">
        <v>2.8</v>
      </c>
      <c r="R60" s="26">
        <f t="shared" si="1"/>
        <v>0.32229999999999998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283.62639999999999</v>
      </c>
      <c r="E61" s="25">
        <v>31.877400000000002</v>
      </c>
      <c r="F61" s="25">
        <v>39.554200000000002</v>
      </c>
      <c r="G61" s="25">
        <v>40.468899999999998</v>
      </c>
      <c r="H61" s="25">
        <v>969.81</v>
      </c>
      <c r="I61" s="25">
        <v>2.33</v>
      </c>
      <c r="J61" s="26">
        <f t="shared" si="0"/>
        <v>0.26939166666666664</v>
      </c>
      <c r="L61" s="24">
        <v>283.62639999999999</v>
      </c>
      <c r="M61" s="25">
        <v>31.877400000000002</v>
      </c>
      <c r="N61" s="25">
        <v>39.554200000000002</v>
      </c>
      <c r="O61" s="25">
        <v>40.468899999999998</v>
      </c>
      <c r="P61" s="25">
        <v>965.64</v>
      </c>
      <c r="Q61" s="25">
        <v>2.33</v>
      </c>
      <c r="R61" s="26">
        <f t="shared" si="1"/>
        <v>0.26823333333333332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139.13120000000001</v>
      </c>
      <c r="E62" s="34">
        <v>29.1051</v>
      </c>
      <c r="F62" s="34">
        <v>38.436799999999998</v>
      </c>
      <c r="G62" s="34">
        <v>39.251199999999997</v>
      </c>
      <c r="H62" s="34">
        <v>884.32</v>
      </c>
      <c r="I62" s="34">
        <v>2.16</v>
      </c>
      <c r="J62" s="35">
        <f t="shared" si="0"/>
        <v>0.24564444444444447</v>
      </c>
      <c r="L62" s="33">
        <v>139.13120000000001</v>
      </c>
      <c r="M62" s="34">
        <v>29.1051</v>
      </c>
      <c r="N62" s="34">
        <v>38.436799999999998</v>
      </c>
      <c r="O62" s="34">
        <v>39.251199999999997</v>
      </c>
      <c r="P62" s="34">
        <v>879.97</v>
      </c>
      <c r="Q62" s="34">
        <v>2.15</v>
      </c>
      <c r="R62" s="35">
        <f t="shared" si="1"/>
        <v>0.24443611111111113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1639.4648</v>
      </c>
      <c r="E63" s="15">
        <v>38.323300000000003</v>
      </c>
      <c r="F63" s="15">
        <v>41.3855</v>
      </c>
      <c r="G63" s="15">
        <v>42.373100000000001</v>
      </c>
      <c r="H63" s="15">
        <v>1345.4</v>
      </c>
      <c r="I63" s="15">
        <v>3.18</v>
      </c>
      <c r="J63" s="16">
        <f t="shared" si="0"/>
        <v>0.37372222222222223</v>
      </c>
      <c r="L63" s="14">
        <v>1639.4648</v>
      </c>
      <c r="M63" s="15">
        <v>38.323300000000003</v>
      </c>
      <c r="N63" s="15">
        <v>41.3855</v>
      </c>
      <c r="O63" s="15">
        <v>42.373100000000001</v>
      </c>
      <c r="P63" s="15">
        <v>1340.92</v>
      </c>
      <c r="Q63" s="15">
        <v>3.17</v>
      </c>
      <c r="R63" s="16">
        <f t="shared" si="1"/>
        <v>0.3724777777777778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750.77599999999995</v>
      </c>
      <c r="E64" s="25">
        <v>34.889099999999999</v>
      </c>
      <c r="F64" s="25">
        <v>38.767299999999999</v>
      </c>
      <c r="G64" s="25">
        <v>39.530900000000003</v>
      </c>
      <c r="H64" s="25">
        <v>1069.8699999999999</v>
      </c>
      <c r="I64" s="25">
        <v>2.5099999999999998</v>
      </c>
      <c r="J64" s="26">
        <f t="shared" si="0"/>
        <v>0.2971861111111111</v>
      </c>
      <c r="L64" s="24">
        <v>750.77599999999995</v>
      </c>
      <c r="M64" s="25">
        <v>34.889099999999999</v>
      </c>
      <c r="N64" s="25">
        <v>38.767299999999999</v>
      </c>
      <c r="O64" s="25">
        <v>39.530900000000003</v>
      </c>
      <c r="P64" s="25">
        <v>1063.54</v>
      </c>
      <c r="Q64" s="25">
        <v>2.4900000000000002</v>
      </c>
      <c r="R64" s="26">
        <f t="shared" si="1"/>
        <v>0.29542777777777779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350.91359999999997</v>
      </c>
      <c r="E65" s="25">
        <v>31.669799999999999</v>
      </c>
      <c r="F65" s="25">
        <v>36.698300000000003</v>
      </c>
      <c r="G65" s="25">
        <v>37.3825</v>
      </c>
      <c r="H65" s="25">
        <v>886.09</v>
      </c>
      <c r="I65" s="25">
        <v>2.09</v>
      </c>
      <c r="J65" s="26">
        <f t="shared" si="0"/>
        <v>0.24613611111111111</v>
      </c>
      <c r="L65" s="24">
        <v>350.91359999999997</v>
      </c>
      <c r="M65" s="25">
        <v>31.669799999999999</v>
      </c>
      <c r="N65" s="25">
        <v>36.698300000000003</v>
      </c>
      <c r="O65" s="25">
        <v>37.3825</v>
      </c>
      <c r="P65" s="25">
        <v>882.09</v>
      </c>
      <c r="Q65" s="25">
        <v>2.0699999999999998</v>
      </c>
      <c r="R65" s="26">
        <f t="shared" si="1"/>
        <v>0.24502500000000002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162.4776</v>
      </c>
      <c r="E66" s="34">
        <v>28.717300000000002</v>
      </c>
      <c r="F66" s="34">
        <v>35.312899999999999</v>
      </c>
      <c r="G66" s="34">
        <v>35.931199999999997</v>
      </c>
      <c r="H66" s="34">
        <v>772.84</v>
      </c>
      <c r="I66" s="34">
        <v>1.82</v>
      </c>
      <c r="J66" s="35">
        <f t="shared" si="0"/>
        <v>0.21467777777777777</v>
      </c>
      <c r="L66" s="33">
        <v>162.4776</v>
      </c>
      <c r="M66" s="34">
        <v>28.717300000000002</v>
      </c>
      <c r="N66" s="34">
        <v>35.312899999999999</v>
      </c>
      <c r="O66" s="34">
        <v>35.931199999999997</v>
      </c>
      <c r="P66" s="34">
        <v>774.93</v>
      </c>
      <c r="Q66" s="34">
        <v>1.82</v>
      </c>
      <c r="R66" s="35">
        <f t="shared" si="1"/>
        <v>0.21525833333333333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1191.6296</v>
      </c>
      <c r="E67" s="15">
        <v>39.546199999999999</v>
      </c>
      <c r="F67" s="15">
        <v>41.596699999999998</v>
      </c>
      <c r="G67" s="15">
        <v>42.689900000000002</v>
      </c>
      <c r="H67" s="15">
        <v>1095.0899999999999</v>
      </c>
      <c r="I67" s="15">
        <v>2.31</v>
      </c>
      <c r="J67" s="16">
        <f t="shared" si="0"/>
        <v>0.30419166666666664</v>
      </c>
      <c r="L67" s="14">
        <v>1191.6296</v>
      </c>
      <c r="M67" s="15">
        <v>39.546199999999999</v>
      </c>
      <c r="N67" s="15">
        <v>41.596699999999998</v>
      </c>
      <c r="O67" s="15">
        <v>42.689900000000002</v>
      </c>
      <c r="P67" s="15">
        <v>1097.81</v>
      </c>
      <c r="Q67" s="15">
        <v>2.31</v>
      </c>
      <c r="R67" s="16">
        <f t="shared" si="1"/>
        <v>0.3049472222222222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585.50559999999996</v>
      </c>
      <c r="E68" s="25">
        <v>35.766100000000002</v>
      </c>
      <c r="F68" s="25">
        <v>38.828299999999999</v>
      </c>
      <c r="G68" s="25">
        <v>40.078699999999998</v>
      </c>
      <c r="H68" s="25">
        <v>898.88</v>
      </c>
      <c r="I68" s="25">
        <v>1.89</v>
      </c>
      <c r="J68" s="26">
        <f t="shared" ref="J68:J98" si="2">secToHours(H68)</f>
        <v>0.24968888888888888</v>
      </c>
      <c r="L68" s="24">
        <v>585.50559999999996</v>
      </c>
      <c r="M68" s="25">
        <v>35.766100000000002</v>
      </c>
      <c r="N68" s="25">
        <v>38.828299999999999</v>
      </c>
      <c r="O68" s="25">
        <v>40.078699999999998</v>
      </c>
      <c r="P68" s="25">
        <v>895.37</v>
      </c>
      <c r="Q68" s="25">
        <v>1.85</v>
      </c>
      <c r="R68" s="26">
        <f t="shared" ref="R68:R98" si="3">secToHours(P68)</f>
        <v>0.2487138888888889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284.49919999999997</v>
      </c>
      <c r="E69" s="25">
        <v>32.344799999999999</v>
      </c>
      <c r="F69" s="25">
        <v>36.788499999999999</v>
      </c>
      <c r="G69" s="25">
        <v>38.0306</v>
      </c>
      <c r="H69" s="25">
        <v>740.32</v>
      </c>
      <c r="I69" s="25">
        <v>1.51</v>
      </c>
      <c r="J69" s="26">
        <f t="shared" si="2"/>
        <v>0.20564444444444446</v>
      </c>
      <c r="L69" s="24">
        <v>284.49919999999997</v>
      </c>
      <c r="M69" s="25">
        <v>32.344799999999999</v>
      </c>
      <c r="N69" s="25">
        <v>36.788499999999999</v>
      </c>
      <c r="O69" s="25">
        <v>38.0306</v>
      </c>
      <c r="P69" s="25">
        <v>733.74</v>
      </c>
      <c r="Q69" s="25">
        <v>1.52</v>
      </c>
      <c r="R69" s="26">
        <f t="shared" si="3"/>
        <v>0.20381666666666667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140.34800000000001</v>
      </c>
      <c r="E70" s="34">
        <v>29.535699999999999</v>
      </c>
      <c r="F70" s="34">
        <v>35.424599999999998</v>
      </c>
      <c r="G70" s="34">
        <v>36.569400000000002</v>
      </c>
      <c r="H70" s="34">
        <v>625.28</v>
      </c>
      <c r="I70" s="34">
        <v>1.29</v>
      </c>
      <c r="J70" s="35">
        <f t="shared" si="2"/>
        <v>0.17368888888888889</v>
      </c>
      <c r="L70" s="33">
        <v>140.34800000000001</v>
      </c>
      <c r="M70" s="34">
        <v>29.535699999999999</v>
      </c>
      <c r="N70" s="34">
        <v>35.424599999999998</v>
      </c>
      <c r="O70" s="34">
        <v>36.569400000000002</v>
      </c>
      <c r="P70" s="34">
        <v>621.30999999999995</v>
      </c>
      <c r="Q70" s="34">
        <v>1.28</v>
      </c>
      <c r="R70" s="35">
        <f t="shared" si="3"/>
        <v>0.17258611111111111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66" t="s">
        <v>25</v>
      </c>
      <c r="B71" s="66" t="s">
        <v>81</v>
      </c>
      <c r="C71" s="66">
        <v>22</v>
      </c>
      <c r="D71" s="99"/>
      <c r="E71" s="100"/>
      <c r="F71" s="100"/>
      <c r="G71" s="100"/>
      <c r="H71" s="100"/>
      <c r="I71" s="100"/>
      <c r="J71" s="74"/>
      <c r="K71" s="101"/>
      <c r="L71" s="99"/>
      <c r="M71" s="100"/>
      <c r="N71" s="100"/>
      <c r="O71" s="100"/>
      <c r="P71" s="100"/>
      <c r="Q71" s="100"/>
      <c r="R71" s="74"/>
      <c r="S71" s="102"/>
      <c r="T71" s="81"/>
      <c r="U71" s="82"/>
      <c r="V71" s="82"/>
      <c r="W71" s="83"/>
      <c r="X71" s="84"/>
      <c r="Y71" s="85"/>
    </row>
    <row r="72" spans="1:25" x14ac:dyDescent="0.2">
      <c r="A72" s="67" t="s">
        <v>26</v>
      </c>
      <c r="B72" s="67"/>
      <c r="C72" s="67">
        <v>27</v>
      </c>
      <c r="D72" s="103"/>
      <c r="E72" s="104"/>
      <c r="F72" s="104"/>
      <c r="G72" s="104"/>
      <c r="H72" s="104"/>
      <c r="I72" s="104"/>
      <c r="J72" s="77"/>
      <c r="K72" s="101"/>
      <c r="L72" s="103"/>
      <c r="M72" s="104"/>
      <c r="N72" s="104"/>
      <c r="O72" s="104"/>
      <c r="P72" s="104"/>
      <c r="Q72" s="104"/>
      <c r="R72" s="77"/>
      <c r="S72" s="102"/>
      <c r="T72" s="86"/>
      <c r="U72" s="87"/>
      <c r="V72" s="87"/>
      <c r="W72" s="86"/>
      <c r="X72" s="87"/>
      <c r="Y72" s="88"/>
    </row>
    <row r="73" spans="1:25" x14ac:dyDescent="0.2">
      <c r="A73" s="67"/>
      <c r="B73" s="67"/>
      <c r="C73" s="67">
        <v>32</v>
      </c>
      <c r="D73" s="103"/>
      <c r="E73" s="104"/>
      <c r="F73" s="104"/>
      <c r="G73" s="104"/>
      <c r="H73" s="104"/>
      <c r="I73" s="104"/>
      <c r="J73" s="77"/>
      <c r="K73" s="101"/>
      <c r="L73" s="103"/>
      <c r="M73" s="104"/>
      <c r="N73" s="104"/>
      <c r="O73" s="104"/>
      <c r="P73" s="104"/>
      <c r="Q73" s="104"/>
      <c r="R73" s="77"/>
      <c r="S73" s="102"/>
      <c r="T73" s="86"/>
      <c r="U73" s="87"/>
      <c r="V73" s="87"/>
      <c r="W73" s="86"/>
      <c r="X73" s="87"/>
      <c r="Y73" s="88"/>
    </row>
    <row r="74" spans="1:25" ht="12.75" thickBot="1" x14ac:dyDescent="0.25">
      <c r="A74" s="67"/>
      <c r="B74" s="68"/>
      <c r="C74" s="68">
        <v>37</v>
      </c>
      <c r="D74" s="105"/>
      <c r="E74" s="106"/>
      <c r="F74" s="106"/>
      <c r="G74" s="106"/>
      <c r="H74" s="106"/>
      <c r="I74" s="106"/>
      <c r="J74" s="80"/>
      <c r="K74" s="101"/>
      <c r="L74" s="105"/>
      <c r="M74" s="106"/>
      <c r="N74" s="106"/>
      <c r="O74" s="106"/>
      <c r="P74" s="106"/>
      <c r="Q74" s="106"/>
      <c r="R74" s="80"/>
      <c r="S74" s="102"/>
      <c r="T74" s="89"/>
      <c r="U74" s="90"/>
      <c r="V74" s="90"/>
      <c r="W74" s="89"/>
      <c r="X74" s="90"/>
      <c r="Y74" s="91"/>
    </row>
    <row r="75" spans="1:25" x14ac:dyDescent="0.2">
      <c r="A75" s="67"/>
      <c r="B75" s="66" t="s">
        <v>82</v>
      </c>
      <c r="C75" s="66">
        <v>22</v>
      </c>
      <c r="D75" s="99"/>
      <c r="E75" s="100"/>
      <c r="F75" s="100"/>
      <c r="G75" s="100"/>
      <c r="H75" s="100"/>
      <c r="I75" s="100"/>
      <c r="J75" s="74"/>
      <c r="K75" s="101"/>
      <c r="L75" s="99"/>
      <c r="M75" s="100"/>
      <c r="N75" s="100"/>
      <c r="O75" s="100"/>
      <c r="P75" s="100"/>
      <c r="Q75" s="100"/>
      <c r="R75" s="74"/>
      <c r="S75" s="102"/>
      <c r="T75" s="81"/>
      <c r="U75" s="82"/>
      <c r="V75" s="82"/>
      <c r="W75" s="83"/>
      <c r="X75" s="84"/>
      <c r="Y75" s="85"/>
    </row>
    <row r="76" spans="1:25" x14ac:dyDescent="0.2">
      <c r="A76" s="67"/>
      <c r="B76" s="67"/>
      <c r="C76" s="67">
        <v>27</v>
      </c>
      <c r="D76" s="103"/>
      <c r="E76" s="104"/>
      <c r="F76" s="104"/>
      <c r="G76" s="104"/>
      <c r="H76" s="104"/>
      <c r="I76" s="104"/>
      <c r="J76" s="77"/>
      <c r="K76" s="101"/>
      <c r="L76" s="103"/>
      <c r="M76" s="104"/>
      <c r="N76" s="104"/>
      <c r="O76" s="104"/>
      <c r="P76" s="104"/>
      <c r="Q76" s="104"/>
      <c r="R76" s="77"/>
      <c r="S76" s="102"/>
      <c r="T76" s="86"/>
      <c r="U76" s="87"/>
      <c r="V76" s="87"/>
      <c r="W76" s="86"/>
      <c r="X76" s="87"/>
      <c r="Y76" s="88"/>
    </row>
    <row r="77" spans="1:25" x14ac:dyDescent="0.2">
      <c r="A77" s="67"/>
      <c r="B77" s="67"/>
      <c r="C77" s="67">
        <v>32</v>
      </c>
      <c r="D77" s="103"/>
      <c r="E77" s="104"/>
      <c r="F77" s="104"/>
      <c r="G77" s="104"/>
      <c r="H77" s="104"/>
      <c r="I77" s="104"/>
      <c r="J77" s="77"/>
      <c r="K77" s="101"/>
      <c r="L77" s="103"/>
      <c r="M77" s="104"/>
      <c r="N77" s="104"/>
      <c r="O77" s="104"/>
      <c r="P77" s="104"/>
      <c r="Q77" s="104"/>
      <c r="R77" s="77"/>
      <c r="S77" s="102"/>
      <c r="T77" s="86"/>
      <c r="U77" s="87"/>
      <c r="V77" s="87"/>
      <c r="W77" s="86"/>
      <c r="X77" s="87"/>
      <c r="Y77" s="88"/>
    </row>
    <row r="78" spans="1:25" ht="12.75" thickBot="1" x14ac:dyDescent="0.25">
      <c r="A78" s="67"/>
      <c r="B78" s="68"/>
      <c r="C78" s="68">
        <v>37</v>
      </c>
      <c r="D78" s="105"/>
      <c r="E78" s="106"/>
      <c r="F78" s="106"/>
      <c r="G78" s="106"/>
      <c r="H78" s="106"/>
      <c r="I78" s="106"/>
      <c r="J78" s="80"/>
      <c r="K78" s="101"/>
      <c r="L78" s="105"/>
      <c r="M78" s="106"/>
      <c r="N78" s="106"/>
      <c r="O78" s="106"/>
      <c r="P78" s="106"/>
      <c r="Q78" s="106"/>
      <c r="R78" s="80"/>
      <c r="S78" s="102"/>
      <c r="T78" s="89"/>
      <c r="U78" s="90"/>
      <c r="V78" s="90"/>
      <c r="W78" s="89"/>
      <c r="X78" s="90"/>
      <c r="Y78" s="91"/>
    </row>
    <row r="79" spans="1:25" x14ac:dyDescent="0.2">
      <c r="A79" s="67"/>
      <c r="B79" s="66" t="s">
        <v>83</v>
      </c>
      <c r="C79" s="66">
        <v>22</v>
      </c>
      <c r="D79" s="99"/>
      <c r="E79" s="100"/>
      <c r="F79" s="100"/>
      <c r="G79" s="100"/>
      <c r="H79" s="100"/>
      <c r="I79" s="100"/>
      <c r="J79" s="74"/>
      <c r="K79" s="101"/>
      <c r="L79" s="99"/>
      <c r="M79" s="100"/>
      <c r="N79" s="100"/>
      <c r="O79" s="100"/>
      <c r="P79" s="100"/>
      <c r="Q79" s="100"/>
      <c r="R79" s="74"/>
      <c r="S79" s="102"/>
      <c r="T79" s="81"/>
      <c r="U79" s="82"/>
      <c r="V79" s="82"/>
      <c r="W79" s="83"/>
      <c r="X79" s="84"/>
      <c r="Y79" s="85"/>
    </row>
    <row r="80" spans="1:25" x14ac:dyDescent="0.2">
      <c r="A80" s="67"/>
      <c r="B80" s="67"/>
      <c r="C80" s="67">
        <v>27</v>
      </c>
      <c r="D80" s="103"/>
      <c r="E80" s="104"/>
      <c r="F80" s="104"/>
      <c r="G80" s="104"/>
      <c r="H80" s="104"/>
      <c r="I80" s="104"/>
      <c r="J80" s="77"/>
      <c r="K80" s="101"/>
      <c r="L80" s="103"/>
      <c r="M80" s="104"/>
      <c r="N80" s="104"/>
      <c r="O80" s="104"/>
      <c r="P80" s="104"/>
      <c r="Q80" s="104"/>
      <c r="R80" s="77"/>
      <c r="S80" s="102"/>
      <c r="T80" s="86"/>
      <c r="U80" s="87"/>
      <c r="V80" s="87"/>
      <c r="W80" s="86"/>
      <c r="X80" s="87"/>
      <c r="Y80" s="88"/>
    </row>
    <row r="81" spans="1:25" x14ac:dyDescent="0.2">
      <c r="A81" s="67"/>
      <c r="B81" s="67"/>
      <c r="C81" s="67">
        <v>32</v>
      </c>
      <c r="D81" s="103"/>
      <c r="E81" s="104"/>
      <c r="F81" s="104"/>
      <c r="G81" s="104"/>
      <c r="H81" s="104"/>
      <c r="I81" s="104"/>
      <c r="J81" s="77"/>
      <c r="K81" s="101"/>
      <c r="L81" s="103"/>
      <c r="M81" s="104"/>
      <c r="N81" s="104"/>
      <c r="O81" s="104"/>
      <c r="P81" s="104"/>
      <c r="Q81" s="104"/>
      <c r="R81" s="77"/>
      <c r="S81" s="102"/>
      <c r="T81" s="86"/>
      <c r="U81" s="87"/>
      <c r="V81" s="87"/>
      <c r="W81" s="86"/>
      <c r="X81" s="87"/>
      <c r="Y81" s="88"/>
    </row>
    <row r="82" spans="1:25" ht="12.75" thickBot="1" x14ac:dyDescent="0.25">
      <c r="A82" s="68"/>
      <c r="B82" s="68"/>
      <c r="C82" s="68">
        <v>37</v>
      </c>
      <c r="D82" s="105"/>
      <c r="E82" s="106"/>
      <c r="F82" s="106"/>
      <c r="G82" s="106"/>
      <c r="H82" s="106"/>
      <c r="I82" s="106"/>
      <c r="J82" s="80"/>
      <c r="K82" s="101"/>
      <c r="L82" s="105"/>
      <c r="M82" s="106"/>
      <c r="N82" s="106"/>
      <c r="O82" s="106"/>
      <c r="P82" s="106"/>
      <c r="Q82" s="106"/>
      <c r="R82" s="80"/>
      <c r="S82" s="102"/>
      <c r="T82" s="89"/>
      <c r="U82" s="90"/>
      <c r="V82" s="90"/>
      <c r="W82" s="89"/>
      <c r="X82" s="90"/>
      <c r="Y82" s="91"/>
    </row>
    <row r="83" spans="1:25" x14ac:dyDescent="0.2">
      <c r="A83" s="63" t="s">
        <v>58</v>
      </c>
      <c r="B83" s="63" t="s">
        <v>59</v>
      </c>
      <c r="C83" s="63">
        <v>22</v>
      </c>
      <c r="D83" s="14">
        <v>3556.8975999999998</v>
      </c>
      <c r="E83" s="15">
        <v>40.704300000000003</v>
      </c>
      <c r="F83" s="15">
        <v>43.082000000000001</v>
      </c>
      <c r="G83" s="15">
        <v>43.630299999999998</v>
      </c>
      <c r="H83" s="15">
        <v>5619.95</v>
      </c>
      <c r="I83" s="15">
        <v>10.39</v>
      </c>
      <c r="J83" s="16">
        <f t="shared" si="2"/>
        <v>1.5610972222222221</v>
      </c>
      <c r="L83" s="14">
        <v>3556.8975999999998</v>
      </c>
      <c r="M83" s="15">
        <v>40.704300000000003</v>
      </c>
      <c r="N83" s="15">
        <v>43.082000000000001</v>
      </c>
      <c r="O83" s="15">
        <v>43.630299999999998</v>
      </c>
      <c r="P83" s="15">
        <v>5632.14</v>
      </c>
      <c r="Q83" s="15">
        <v>10.35</v>
      </c>
      <c r="R83" s="16">
        <f t="shared" si="3"/>
        <v>1.5644833333333334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1762.7088000000001</v>
      </c>
      <c r="E84" s="25">
        <v>37.428600000000003</v>
      </c>
      <c r="F84" s="25">
        <v>40.369300000000003</v>
      </c>
      <c r="G84" s="25">
        <v>40.552900000000001</v>
      </c>
      <c r="H84" s="25">
        <v>4708.17</v>
      </c>
      <c r="I84" s="25">
        <v>8.6</v>
      </c>
      <c r="J84" s="26">
        <f t="shared" si="2"/>
        <v>1.307825</v>
      </c>
      <c r="L84" s="24">
        <v>1762.7088000000001</v>
      </c>
      <c r="M84" s="25">
        <v>37.428600000000003</v>
      </c>
      <c r="N84" s="25">
        <v>40.369300000000003</v>
      </c>
      <c r="O84" s="25">
        <v>40.552900000000001</v>
      </c>
      <c r="P84" s="25">
        <v>4681.8599999999997</v>
      </c>
      <c r="Q84" s="25">
        <v>8.67</v>
      </c>
      <c r="R84" s="26">
        <f t="shared" si="3"/>
        <v>1.3005166666666665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888.93439999999998</v>
      </c>
      <c r="E85" s="25">
        <v>34.343400000000003</v>
      </c>
      <c r="F85" s="25">
        <v>38.0002</v>
      </c>
      <c r="G85" s="25">
        <v>37.998199999999997</v>
      </c>
      <c r="H85" s="25">
        <v>4004.4</v>
      </c>
      <c r="I85" s="25">
        <v>7.25</v>
      </c>
      <c r="J85" s="26">
        <f t="shared" si="2"/>
        <v>1.1123333333333334</v>
      </c>
      <c r="L85" s="24">
        <v>888.93439999999998</v>
      </c>
      <c r="M85" s="25">
        <v>34.343400000000003</v>
      </c>
      <c r="N85" s="25">
        <v>38.0002</v>
      </c>
      <c r="O85" s="25">
        <v>37.998199999999997</v>
      </c>
      <c r="P85" s="25">
        <v>3985.66</v>
      </c>
      <c r="Q85" s="25">
        <v>7.25</v>
      </c>
      <c r="R85" s="26">
        <f t="shared" si="3"/>
        <v>1.1071277777777777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478.79520000000002</v>
      </c>
      <c r="E86" s="34">
        <v>31.622299999999999</v>
      </c>
      <c r="F86" s="34">
        <v>36.317</v>
      </c>
      <c r="G86" s="34">
        <v>36.191800000000001</v>
      </c>
      <c r="H86" s="34">
        <v>3534.92</v>
      </c>
      <c r="I86" s="34">
        <v>6.45</v>
      </c>
      <c r="J86" s="35">
        <f t="shared" si="2"/>
        <v>0.98192222222222225</v>
      </c>
      <c r="L86" s="33">
        <v>478.79520000000002</v>
      </c>
      <c r="M86" s="34">
        <v>31.622299999999999</v>
      </c>
      <c r="N86" s="34">
        <v>36.317</v>
      </c>
      <c r="O86" s="34">
        <v>36.191800000000001</v>
      </c>
      <c r="P86" s="34">
        <v>3520.61</v>
      </c>
      <c r="Q86" s="34">
        <v>6.42</v>
      </c>
      <c r="R86" s="35">
        <f t="shared" si="3"/>
        <v>0.9779472222222223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5043.2448000000004</v>
      </c>
      <c r="E87" s="15">
        <v>42.618200000000002</v>
      </c>
      <c r="F87" s="15">
        <v>45.974299999999999</v>
      </c>
      <c r="G87" s="15">
        <v>46.083500000000001</v>
      </c>
      <c r="H87" s="15">
        <v>12507.82</v>
      </c>
      <c r="I87" s="15">
        <v>21.23</v>
      </c>
      <c r="J87" s="16">
        <f t="shared" si="2"/>
        <v>3.4743944444444446</v>
      </c>
      <c r="L87" s="14">
        <v>5043.2448000000004</v>
      </c>
      <c r="M87" s="15">
        <v>42.618200000000002</v>
      </c>
      <c r="N87" s="15">
        <v>45.974299999999999</v>
      </c>
      <c r="O87" s="15">
        <v>46.083500000000001</v>
      </c>
      <c r="P87" s="15">
        <v>12508.74</v>
      </c>
      <c r="Q87" s="15">
        <v>21.12</v>
      </c>
      <c r="R87" s="16">
        <f t="shared" si="3"/>
        <v>3.47465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2585.9366</v>
      </c>
      <c r="E88" s="25">
        <v>38.691699999999997</v>
      </c>
      <c r="F88" s="25">
        <v>43.12</v>
      </c>
      <c r="G88" s="25">
        <v>42.994100000000003</v>
      </c>
      <c r="H88" s="25">
        <v>10341.120000000001</v>
      </c>
      <c r="I88" s="25">
        <v>17.61</v>
      </c>
      <c r="J88" s="26">
        <f t="shared" si="2"/>
        <v>2.8725333333333336</v>
      </c>
      <c r="L88" s="24">
        <v>2585.9366</v>
      </c>
      <c r="M88" s="25">
        <v>38.691699999999997</v>
      </c>
      <c r="N88" s="25">
        <v>43.12</v>
      </c>
      <c r="O88" s="25">
        <v>42.994100000000003</v>
      </c>
      <c r="P88" s="25">
        <v>10216.76</v>
      </c>
      <c r="Q88" s="25">
        <v>17.87</v>
      </c>
      <c r="R88" s="26">
        <f t="shared" si="3"/>
        <v>2.8379888888888889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1305.9480000000001</v>
      </c>
      <c r="E89" s="25">
        <v>35.028500000000001</v>
      </c>
      <c r="F89" s="25">
        <v>40.7121</v>
      </c>
      <c r="G89" s="25">
        <v>40.531399999999998</v>
      </c>
      <c r="H89" s="25">
        <v>8301.4</v>
      </c>
      <c r="I89" s="25">
        <v>14.64</v>
      </c>
      <c r="J89" s="26">
        <f t="shared" si="2"/>
        <v>2.3059444444444441</v>
      </c>
      <c r="L89" s="24">
        <v>1305.9480000000001</v>
      </c>
      <c r="M89" s="25">
        <v>35.028500000000001</v>
      </c>
      <c r="N89" s="25">
        <v>40.7121</v>
      </c>
      <c r="O89" s="25">
        <v>40.531399999999998</v>
      </c>
      <c r="P89" s="25">
        <v>8319.64</v>
      </c>
      <c r="Q89" s="25">
        <v>14.66</v>
      </c>
      <c r="R89" s="26">
        <f t="shared" si="3"/>
        <v>2.3110111111111111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677.74900000000002</v>
      </c>
      <c r="E90" s="34">
        <v>31.884799999999998</v>
      </c>
      <c r="F90" s="34">
        <v>39.203099999999999</v>
      </c>
      <c r="G90" s="34">
        <v>38.9908</v>
      </c>
      <c r="H90" s="34">
        <v>7030.95</v>
      </c>
      <c r="I90" s="34">
        <v>12.53</v>
      </c>
      <c r="J90" s="35">
        <f t="shared" si="2"/>
        <v>1.9530416666666666</v>
      </c>
      <c r="L90" s="33">
        <v>677.74900000000002</v>
      </c>
      <c r="M90" s="34">
        <v>31.884799999999998</v>
      </c>
      <c r="N90" s="34">
        <v>39.203099999999999</v>
      </c>
      <c r="O90" s="34">
        <v>38.9908</v>
      </c>
      <c r="P90" s="34">
        <v>6988.38</v>
      </c>
      <c r="Q90" s="34">
        <v>12.75</v>
      </c>
      <c r="R90" s="35">
        <f t="shared" si="3"/>
        <v>1.9412166666666666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1326.1424</v>
      </c>
      <c r="E91" s="15">
        <v>47.832299999999996</v>
      </c>
      <c r="F91" s="15">
        <v>46.449300000000001</v>
      </c>
      <c r="G91" s="15">
        <v>46.480699999999999</v>
      </c>
      <c r="H91" s="15">
        <v>3456.19</v>
      </c>
      <c r="I91" s="15">
        <v>7.03</v>
      </c>
      <c r="J91" s="16">
        <f t="shared" si="2"/>
        <v>0.96005277777777775</v>
      </c>
      <c r="L91" s="14">
        <v>1326.1424</v>
      </c>
      <c r="M91" s="15">
        <v>47.832299999999996</v>
      </c>
      <c r="N91" s="15">
        <v>46.449300000000001</v>
      </c>
      <c r="O91" s="15">
        <v>46.480699999999999</v>
      </c>
      <c r="P91" s="15">
        <v>3459.62</v>
      </c>
      <c r="Q91" s="15">
        <v>6.98</v>
      </c>
      <c r="R91" s="16">
        <f t="shared" si="3"/>
        <v>0.96100555555555556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997.61120000000005</v>
      </c>
      <c r="E92" s="25">
        <v>43.456800000000001</v>
      </c>
      <c r="F92" s="25">
        <v>42.051499999999997</v>
      </c>
      <c r="G92" s="25">
        <v>42.170999999999999</v>
      </c>
      <c r="H92" s="25">
        <v>3417.11</v>
      </c>
      <c r="I92" s="25">
        <v>6.87</v>
      </c>
      <c r="J92" s="26">
        <f t="shared" si="2"/>
        <v>0.94919722222222225</v>
      </c>
      <c r="L92" s="24">
        <v>997.61120000000005</v>
      </c>
      <c r="M92" s="25">
        <v>43.456800000000001</v>
      </c>
      <c r="N92" s="25">
        <v>42.051499999999997</v>
      </c>
      <c r="O92" s="25">
        <v>42.170999999999999</v>
      </c>
      <c r="P92" s="25">
        <v>3399.69</v>
      </c>
      <c r="Q92" s="25">
        <v>6.83</v>
      </c>
      <c r="R92" s="26">
        <f t="shared" si="3"/>
        <v>0.9443583333333333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754.33040000000005</v>
      </c>
      <c r="E93" s="25">
        <v>38.9343</v>
      </c>
      <c r="F93" s="25">
        <v>39.391599999999997</v>
      </c>
      <c r="G93" s="25">
        <v>39.626899999999999</v>
      </c>
      <c r="H93" s="25">
        <v>3345.96</v>
      </c>
      <c r="I93" s="25">
        <v>6.73</v>
      </c>
      <c r="J93" s="26">
        <f t="shared" si="2"/>
        <v>0.92943333333333333</v>
      </c>
      <c r="L93" s="24">
        <v>754.33040000000005</v>
      </c>
      <c r="M93" s="25">
        <v>38.9343</v>
      </c>
      <c r="N93" s="25">
        <v>39.391599999999997</v>
      </c>
      <c r="O93" s="25">
        <v>39.626899999999999</v>
      </c>
      <c r="P93" s="25">
        <v>3344.88</v>
      </c>
      <c r="Q93" s="25">
        <v>6.92</v>
      </c>
      <c r="R93" s="26">
        <f t="shared" si="3"/>
        <v>0.92913333333333337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567.85040000000004</v>
      </c>
      <c r="E94" s="34">
        <v>34.134300000000003</v>
      </c>
      <c r="F94" s="34">
        <v>38.1539</v>
      </c>
      <c r="G94" s="34">
        <v>37.930199999999999</v>
      </c>
      <c r="H94" s="34">
        <v>3321.03</v>
      </c>
      <c r="I94" s="34">
        <v>6.72</v>
      </c>
      <c r="J94" s="35">
        <f t="shared" si="2"/>
        <v>0.92250833333333337</v>
      </c>
      <c r="L94" s="33">
        <v>567.85040000000004</v>
      </c>
      <c r="M94" s="34">
        <v>34.134300000000003</v>
      </c>
      <c r="N94" s="34">
        <v>38.1539</v>
      </c>
      <c r="O94" s="34">
        <v>37.930199999999999</v>
      </c>
      <c r="P94" s="34">
        <v>3311.59</v>
      </c>
      <c r="Q94" s="34">
        <v>6.64</v>
      </c>
      <c r="R94" s="35">
        <f t="shared" si="3"/>
        <v>0.91988611111111118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806.19100000000003</v>
      </c>
      <c r="E95" s="15">
        <v>50.3523</v>
      </c>
      <c r="F95" s="15">
        <v>53.134700000000002</v>
      </c>
      <c r="G95" s="15">
        <v>54.215000000000003</v>
      </c>
      <c r="H95" s="15">
        <v>6710.3</v>
      </c>
      <c r="I95" s="15">
        <v>13.03</v>
      </c>
      <c r="J95" s="16">
        <f t="shared" si="2"/>
        <v>1.8639722222222224</v>
      </c>
      <c r="L95" s="14">
        <v>806.19100000000003</v>
      </c>
      <c r="M95" s="15">
        <v>50.3523</v>
      </c>
      <c r="N95" s="15">
        <v>53.134700000000002</v>
      </c>
      <c r="O95" s="15">
        <v>54.215000000000003</v>
      </c>
      <c r="P95" s="15">
        <v>6684.65</v>
      </c>
      <c r="Q95" s="15">
        <v>13.21</v>
      </c>
      <c r="R95" s="16">
        <f t="shared" si="3"/>
        <v>1.8568472222222221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503.18020000000001</v>
      </c>
      <c r="E96" s="25">
        <v>46.489199999999997</v>
      </c>
      <c r="F96" s="25">
        <v>49.843899999999998</v>
      </c>
      <c r="G96" s="25">
        <v>50.928800000000003</v>
      </c>
      <c r="H96" s="25">
        <v>6348.47</v>
      </c>
      <c r="I96" s="25">
        <v>12.36</v>
      </c>
      <c r="J96" s="26">
        <f t="shared" si="2"/>
        <v>1.7634638888888889</v>
      </c>
      <c r="L96" s="24">
        <v>503.18020000000001</v>
      </c>
      <c r="M96" s="25">
        <v>46.489199999999997</v>
      </c>
      <c r="N96" s="25">
        <v>49.843899999999998</v>
      </c>
      <c r="O96" s="25">
        <v>50.928800000000003</v>
      </c>
      <c r="P96" s="25">
        <v>6377.66</v>
      </c>
      <c r="Q96" s="25">
        <v>12.42</v>
      </c>
      <c r="R96" s="26">
        <f t="shared" si="3"/>
        <v>1.7715722222222221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323.00639999999999</v>
      </c>
      <c r="E97" s="25">
        <v>42.828299999999999</v>
      </c>
      <c r="F97" s="25">
        <v>47.113199999999999</v>
      </c>
      <c r="G97" s="25">
        <v>48.353700000000003</v>
      </c>
      <c r="H97" s="25">
        <v>6080.26</v>
      </c>
      <c r="I97" s="25">
        <v>12.09</v>
      </c>
      <c r="J97" s="26">
        <f t="shared" si="2"/>
        <v>1.6889611111111111</v>
      </c>
      <c r="L97" s="24">
        <v>323.00639999999999</v>
      </c>
      <c r="M97" s="25">
        <v>42.828299999999999</v>
      </c>
      <c r="N97" s="25">
        <v>47.113199999999999</v>
      </c>
      <c r="O97" s="25">
        <v>48.353700000000003</v>
      </c>
      <c r="P97" s="25">
        <v>6065.19</v>
      </c>
      <c r="Q97" s="25">
        <v>11.87</v>
      </c>
      <c r="R97" s="26">
        <f t="shared" si="3"/>
        <v>1.6847749999999999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214.0864</v>
      </c>
      <c r="E98" s="34">
        <v>39.018099999999997</v>
      </c>
      <c r="F98" s="34">
        <v>45.2059</v>
      </c>
      <c r="G98" s="34">
        <v>46.437899999999999</v>
      </c>
      <c r="H98" s="34">
        <v>5907.74</v>
      </c>
      <c r="I98" s="34">
        <v>11.55</v>
      </c>
      <c r="J98" s="35">
        <f t="shared" si="2"/>
        <v>1.6410388888888889</v>
      </c>
      <c r="L98" s="33">
        <v>214.0864</v>
      </c>
      <c r="M98" s="34">
        <v>39.018099999999997</v>
      </c>
      <c r="N98" s="34">
        <v>45.2059</v>
      </c>
      <c r="O98" s="34">
        <v>46.437899999999999</v>
      </c>
      <c r="P98" s="34">
        <v>5868.54</v>
      </c>
      <c r="Q98" s="34">
        <v>11.64</v>
      </c>
      <c r="R98" s="35">
        <f t="shared" si="3"/>
        <v>1.63015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20">
        <f t="shared" ref="T99:Y99" si="4">AVERAGE(T3,T7,T11,T15)</f>
        <v>0</v>
      </c>
      <c r="U99" s="21">
        <f t="shared" si="4"/>
        <v>0</v>
      </c>
      <c r="V99" s="21">
        <f t="shared" si="4"/>
        <v>0</v>
      </c>
      <c r="W99" s="20">
        <f t="shared" si="4"/>
        <v>0</v>
      </c>
      <c r="X99" s="21">
        <f t="shared" si="4"/>
        <v>0</v>
      </c>
      <c r="Y99" s="22">
        <f t="shared" si="4"/>
        <v>0</v>
      </c>
    </row>
    <row r="100" spans="1:25" x14ac:dyDescent="0.2">
      <c r="B100" s="23" t="s">
        <v>68</v>
      </c>
      <c r="T100" s="41">
        <f>AVERAGE(T3,T7)</f>
        <v>0</v>
      </c>
      <c r="U100" s="42">
        <f t="shared" ref="U100:Y100" si="5">AVERAGE(U3,U7)</f>
        <v>0</v>
      </c>
      <c r="V100" s="42">
        <f t="shared" si="5"/>
        <v>0</v>
      </c>
      <c r="W100" s="41">
        <f t="shared" si="5"/>
        <v>0</v>
      </c>
      <c r="X100" s="42">
        <f t="shared" si="5"/>
        <v>0</v>
      </c>
      <c r="Y100" s="43">
        <f t="shared" si="5"/>
        <v>0</v>
      </c>
    </row>
    <row r="101" spans="1:25" x14ac:dyDescent="0.2">
      <c r="B101" s="23" t="s">
        <v>7</v>
      </c>
      <c r="T101" s="41">
        <f t="shared" ref="T101:Y101" si="6">AVERAGE(T19,T23,T27,T31,T35)</f>
        <v>0</v>
      </c>
      <c r="U101" s="42">
        <f t="shared" si="6"/>
        <v>0</v>
      </c>
      <c r="V101" s="42">
        <f t="shared" si="6"/>
        <v>0</v>
      </c>
      <c r="W101" s="41">
        <f t="shared" si="6"/>
        <v>0</v>
      </c>
      <c r="X101" s="42">
        <f t="shared" si="6"/>
        <v>0</v>
      </c>
      <c r="Y101" s="43">
        <f t="shared" si="6"/>
        <v>0</v>
      </c>
    </row>
    <row r="102" spans="1:25" x14ac:dyDescent="0.2">
      <c r="B102" s="23" t="s">
        <v>14</v>
      </c>
      <c r="T102" s="41">
        <f t="shared" ref="T102:Y102" si="7">AVERAGE(T39,T43,T47,T51)</f>
        <v>0</v>
      </c>
      <c r="U102" s="42">
        <f t="shared" si="7"/>
        <v>0</v>
      </c>
      <c r="V102" s="42">
        <f t="shared" si="7"/>
        <v>0</v>
      </c>
      <c r="W102" s="41">
        <f t="shared" si="7"/>
        <v>0</v>
      </c>
      <c r="X102" s="42">
        <f t="shared" si="7"/>
        <v>0</v>
      </c>
      <c r="Y102" s="43">
        <f t="shared" si="7"/>
        <v>0</v>
      </c>
    </row>
    <row r="103" spans="1:25" x14ac:dyDescent="0.2">
      <c r="B103" s="23" t="s">
        <v>20</v>
      </c>
      <c r="T103" s="41">
        <f t="shared" ref="T103:Y103" si="8">AVERAGE(T55,T59,T63,T67)</f>
        <v>0</v>
      </c>
      <c r="U103" s="42">
        <f t="shared" si="8"/>
        <v>0</v>
      </c>
      <c r="V103" s="42">
        <f t="shared" si="8"/>
        <v>0</v>
      </c>
      <c r="W103" s="41">
        <f t="shared" si="8"/>
        <v>0</v>
      </c>
      <c r="X103" s="42">
        <f t="shared" si="8"/>
        <v>0</v>
      </c>
      <c r="Y103" s="43">
        <f t="shared" si="8"/>
        <v>0</v>
      </c>
    </row>
    <row r="104" spans="1:25" x14ac:dyDescent="0.2">
      <c r="B104" s="23" t="s">
        <v>27</v>
      </c>
      <c r="T104" s="83"/>
      <c r="U104" s="84"/>
      <c r="V104" s="84"/>
      <c r="W104" s="83"/>
      <c r="X104" s="84"/>
      <c r="Y104" s="85"/>
    </row>
    <row r="105" spans="1:25" ht="12.75" thickBot="1" x14ac:dyDescent="0.25">
      <c r="B105" s="23" t="s">
        <v>63</v>
      </c>
      <c r="T105" s="41">
        <f t="shared" ref="T105:Y105" si="9">AVERAGE(T83,T87,T91,T95)</f>
        <v>0</v>
      </c>
      <c r="U105" s="42">
        <f t="shared" si="9"/>
        <v>0</v>
      </c>
      <c r="V105" s="42">
        <f t="shared" si="9"/>
        <v>0</v>
      </c>
      <c r="W105" s="41">
        <f t="shared" si="9"/>
        <v>0</v>
      </c>
      <c r="X105" s="42">
        <f t="shared" si="9"/>
        <v>0</v>
      </c>
      <c r="Y105" s="43">
        <f t="shared" si="9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10">AVERAGE(T3:T98)</f>
        <v>0</v>
      </c>
      <c r="U106" s="46">
        <f t="shared" si="10"/>
        <v>0</v>
      </c>
      <c r="V106" s="47">
        <f t="shared" si="10"/>
        <v>0</v>
      </c>
      <c r="W106" s="46">
        <f t="shared" si="10"/>
        <v>0</v>
      </c>
      <c r="X106" s="46">
        <f t="shared" si="10"/>
        <v>0</v>
      </c>
      <c r="Y106" s="47">
        <f t="shared" si="10"/>
        <v>0</v>
      </c>
    </row>
    <row r="107" spans="1:25" x14ac:dyDescent="0.2">
      <c r="B107" s="13" t="s">
        <v>29</v>
      </c>
      <c r="I107" s="95">
        <f>GEOMEAN(I3:I98)</f>
        <v>12.030940210572297</v>
      </c>
      <c r="J107" s="92">
        <f>GEOMEAN(J3:J98)</f>
        <v>1.7283973099793546</v>
      </c>
      <c r="Q107" s="95">
        <f>GEOMEAN(Q3:Q98)</f>
        <v>11.998232608244585</v>
      </c>
      <c r="R107" s="92">
        <f>GEOMEAN(R3:R98)</f>
        <v>1.7234487277199688</v>
      </c>
    </row>
    <row r="108" spans="1:25" ht="12.75" thickBot="1" x14ac:dyDescent="0.25">
      <c r="B108" s="23" t="s">
        <v>30</v>
      </c>
      <c r="I108" s="96">
        <f>SUM(I3:I98)/3600</f>
        <v>0.46114166666666656</v>
      </c>
      <c r="J108" s="94">
        <f>SUM(J3:J98)</f>
        <v>251.18993055555543</v>
      </c>
      <c r="Q108" s="96">
        <f>SUM(Q3:Q98)/3600</f>
        <v>0.45847222222222211</v>
      </c>
      <c r="R108" s="94">
        <f>SUM(R3:R98)</f>
        <v>250.64512222222214</v>
      </c>
    </row>
    <row r="109" spans="1:25" ht="12.75" thickBot="1" x14ac:dyDescent="0.25">
      <c r="B109" s="32" t="s">
        <v>98</v>
      </c>
      <c r="T109" s="97">
        <f>Q107/I107</f>
        <v>0.99728137603917533</v>
      </c>
      <c r="U109" s="98">
        <f>R107/J107</f>
        <v>0.99713689541703532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1">AVERAGE(T3:T10, T19:T98)</f>
        <v>0</v>
      </c>
      <c r="U112" s="46">
        <f t="shared" si="11"/>
        <v>0</v>
      </c>
      <c r="V112" s="47">
        <f t="shared" si="11"/>
        <v>0</v>
      </c>
      <c r="W112" s="46">
        <f t="shared" si="11"/>
        <v>0</v>
      </c>
      <c r="X112" s="46">
        <f t="shared" si="11"/>
        <v>0</v>
      </c>
      <c r="Y112" s="47">
        <f t="shared" si="11"/>
        <v>0</v>
      </c>
    </row>
    <row r="113" spans="2:21" x14ac:dyDescent="0.2">
      <c r="B113" s="13" t="s">
        <v>29</v>
      </c>
      <c r="I113" s="95">
        <f>GEOMEAN(I3:I10, I19:I82)</f>
        <v>10.352382701805189</v>
      </c>
      <c r="J113" s="92">
        <f t="shared" ref="J113:R113" si="12">GEOMEAN(J3:J10, J19:J82)</f>
        <v>1.446322029734636</v>
      </c>
      <c r="Q113" s="95">
        <f t="shared" si="12"/>
        <v>10.313172738083866</v>
      </c>
      <c r="R113" s="92">
        <f t="shared" si="12"/>
        <v>1.4418518132940124</v>
      </c>
    </row>
    <row r="114" spans="2:21" ht="12.75" thickBot="1" x14ac:dyDescent="0.25">
      <c r="B114" s="23" t="s">
        <v>30</v>
      </c>
      <c r="I114" s="96">
        <f>SUM(I3:I10, I19:I82)/3600</f>
        <v>0.29045277777777778</v>
      </c>
      <c r="J114" s="94">
        <f>SUM(J3:J10, J19:J82)</f>
        <v>150.36842222222225</v>
      </c>
      <c r="Q114" s="96">
        <f t="shared" ref="Q114" si="13">SUM(Q3:Q10, Q19:Q82)/3600</f>
        <v>0.28831944444444446</v>
      </c>
      <c r="R114" s="94">
        <f>SUM(R3:R10, R19:R82)</f>
        <v>150.01414166666666</v>
      </c>
    </row>
    <row r="115" spans="2:21" ht="12.75" thickBot="1" x14ac:dyDescent="0.25">
      <c r="B115" s="32" t="s">
        <v>98</v>
      </c>
      <c r="T115" s="97">
        <f>Q113/I113</f>
        <v>0.99621246964580579</v>
      </c>
      <c r="U115" s="98">
        <f>R113/J113</f>
        <v>0.99690925233196936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 T106:Y106">
    <cfRule type="cellIs" dxfId="23" priority="7" operator="greaterThan">
      <formula>0.03</formula>
    </cfRule>
    <cfRule type="cellIs" dxfId="22" priority="8" stopIfTrue="1" operator="lessThan">
      <formula>-0.03</formula>
    </cfRule>
  </conditionalFormatting>
  <conditionalFormatting sqref="T112:Y112">
    <cfRule type="cellIs" dxfId="21" priority="5" operator="greaterThan">
      <formula>0.03</formula>
    </cfRule>
    <cfRule type="cellIs" dxfId="20" priority="6" stopIfTrue="1" operator="lessThan">
      <formula>-0.03</formula>
    </cfRule>
  </conditionalFormatting>
  <conditionalFormatting sqref="T112:Y112">
    <cfRule type="cellIs" dxfId="19" priority="1" operator="greaterThan">
      <formula>0.03</formula>
    </cfRule>
    <cfRule type="cellIs" dxfId="1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5084.5576000000001</v>
      </c>
      <c r="E19" s="15">
        <v>41.828899999999997</v>
      </c>
      <c r="F19" s="15">
        <v>43.391300000000001</v>
      </c>
      <c r="G19" s="15">
        <v>44.957700000000003</v>
      </c>
      <c r="H19" s="15">
        <v>18640.59</v>
      </c>
      <c r="I19" s="15">
        <v>24.43</v>
      </c>
      <c r="J19" s="16">
        <f t="shared" ref="J19:J82" si="0">secToHours(H19)</f>
        <v>5.1779416666666664</v>
      </c>
      <c r="L19" s="14">
        <v>5084.5576000000001</v>
      </c>
      <c r="M19" s="15">
        <v>41.828899999999997</v>
      </c>
      <c r="N19" s="15">
        <v>43.391300000000001</v>
      </c>
      <c r="O19" s="15">
        <v>44.957700000000003</v>
      </c>
      <c r="P19" s="15">
        <v>18630.2</v>
      </c>
      <c r="Q19" s="15">
        <v>24.06</v>
      </c>
      <c r="R19" s="16">
        <f t="shared" ref="R19:R82" si="1">secToHours(P19)</f>
        <v>5.1750555555555557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2376.2968000000001</v>
      </c>
      <c r="E20" s="25">
        <v>39.7744</v>
      </c>
      <c r="F20" s="25">
        <v>41.690399999999997</v>
      </c>
      <c r="G20" s="25">
        <v>42.895699999999998</v>
      </c>
      <c r="H20" s="25">
        <v>15808.32</v>
      </c>
      <c r="I20" s="25">
        <v>19.989999999999998</v>
      </c>
      <c r="J20" s="26">
        <f t="shared" si="0"/>
        <v>4.3911999999999995</v>
      </c>
      <c r="L20" s="24">
        <v>2376.2968000000001</v>
      </c>
      <c r="M20" s="25">
        <v>39.7744</v>
      </c>
      <c r="N20" s="25">
        <v>41.690399999999997</v>
      </c>
      <c r="O20" s="25">
        <v>42.895699999999998</v>
      </c>
      <c r="P20" s="25">
        <v>15793.29</v>
      </c>
      <c r="Q20" s="25">
        <v>19.88</v>
      </c>
      <c r="R20" s="26">
        <f t="shared" si="1"/>
        <v>4.3870250000000004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1145.8168000000001</v>
      </c>
      <c r="E21" s="25">
        <v>37.195999999999998</v>
      </c>
      <c r="F21" s="25">
        <v>40.412599999999998</v>
      </c>
      <c r="G21" s="25">
        <v>41.612000000000002</v>
      </c>
      <c r="H21" s="25">
        <v>13704.77</v>
      </c>
      <c r="I21" s="25">
        <v>17.25</v>
      </c>
      <c r="J21" s="26">
        <f t="shared" si="0"/>
        <v>3.8068805555555558</v>
      </c>
      <c r="L21" s="24">
        <v>1145.8168000000001</v>
      </c>
      <c r="M21" s="25">
        <v>37.195999999999998</v>
      </c>
      <c r="N21" s="25">
        <v>40.412599999999998</v>
      </c>
      <c r="O21" s="25">
        <v>41.612000000000002</v>
      </c>
      <c r="P21" s="25">
        <v>13660.74</v>
      </c>
      <c r="Q21" s="25">
        <v>17.510000000000002</v>
      </c>
      <c r="R21" s="26">
        <f t="shared" si="1"/>
        <v>3.7946499999999999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560.33680000000004</v>
      </c>
      <c r="E22" s="34">
        <v>34.575499999999998</v>
      </c>
      <c r="F22" s="34">
        <v>39.532699999999998</v>
      </c>
      <c r="G22" s="34">
        <v>40.848999999999997</v>
      </c>
      <c r="H22" s="34">
        <v>12161.7</v>
      </c>
      <c r="I22" s="34">
        <v>15.58</v>
      </c>
      <c r="J22" s="35">
        <f t="shared" si="0"/>
        <v>3.3782500000000004</v>
      </c>
      <c r="L22" s="33">
        <v>560.33680000000004</v>
      </c>
      <c r="M22" s="34">
        <v>34.575499999999998</v>
      </c>
      <c r="N22" s="34">
        <v>39.532699999999998</v>
      </c>
      <c r="O22" s="34">
        <v>40.848999999999997</v>
      </c>
      <c r="P22" s="34">
        <v>12121.08</v>
      </c>
      <c r="Q22" s="34">
        <v>15.24</v>
      </c>
      <c r="R22" s="35">
        <f t="shared" si="1"/>
        <v>3.3669666666666664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7831.3095999999996</v>
      </c>
      <c r="E23" s="15">
        <v>39.985100000000003</v>
      </c>
      <c r="F23" s="15">
        <v>42.034199999999998</v>
      </c>
      <c r="G23" s="15">
        <v>43.222999999999999</v>
      </c>
      <c r="H23" s="15">
        <v>16942.7</v>
      </c>
      <c r="I23" s="15">
        <v>28.05</v>
      </c>
      <c r="J23" s="16">
        <f t="shared" si="0"/>
        <v>4.7063055555555557</v>
      </c>
      <c r="L23" s="14">
        <v>7831.3095999999996</v>
      </c>
      <c r="M23" s="15">
        <v>39.985100000000003</v>
      </c>
      <c r="N23" s="15">
        <v>42.034199999999998</v>
      </c>
      <c r="O23" s="15">
        <v>43.222999999999999</v>
      </c>
      <c r="P23" s="15">
        <v>17034.23</v>
      </c>
      <c r="Q23" s="15">
        <v>27.52</v>
      </c>
      <c r="R23" s="16">
        <f t="shared" si="1"/>
        <v>4.7317305555555551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3137.0039999999999</v>
      </c>
      <c r="E24" s="25">
        <v>37.0336</v>
      </c>
      <c r="F24" s="25">
        <v>39.842199999999998</v>
      </c>
      <c r="G24" s="25">
        <v>40.872799999999998</v>
      </c>
      <c r="H24" s="25">
        <v>13682.42</v>
      </c>
      <c r="I24" s="25">
        <v>20.73</v>
      </c>
      <c r="J24" s="26">
        <f t="shared" si="0"/>
        <v>3.8006722222222225</v>
      </c>
      <c r="L24" s="24">
        <v>3137.0039999999999</v>
      </c>
      <c r="M24" s="25">
        <v>37.0336</v>
      </c>
      <c r="N24" s="25">
        <v>39.842199999999998</v>
      </c>
      <c r="O24" s="25">
        <v>40.872799999999998</v>
      </c>
      <c r="P24" s="25">
        <v>13668.28</v>
      </c>
      <c r="Q24" s="25">
        <v>20.99</v>
      </c>
      <c r="R24" s="26">
        <f t="shared" si="1"/>
        <v>3.7967444444444447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1327.1368</v>
      </c>
      <c r="E25" s="25">
        <v>34.200699999999998</v>
      </c>
      <c r="F25" s="25">
        <v>38.170499999999997</v>
      </c>
      <c r="G25" s="25">
        <v>39.463799999999999</v>
      </c>
      <c r="H25" s="25">
        <v>11744.8</v>
      </c>
      <c r="I25" s="25">
        <v>17.05</v>
      </c>
      <c r="J25" s="26">
        <f t="shared" si="0"/>
        <v>3.2624444444444443</v>
      </c>
      <c r="L25" s="24">
        <v>1327.1368</v>
      </c>
      <c r="M25" s="25">
        <v>34.200699999999998</v>
      </c>
      <c r="N25" s="25">
        <v>38.170499999999997</v>
      </c>
      <c r="O25" s="25">
        <v>39.463799999999999</v>
      </c>
      <c r="P25" s="25">
        <v>11737.67</v>
      </c>
      <c r="Q25" s="25">
        <v>17.059999999999999</v>
      </c>
      <c r="R25" s="26">
        <f t="shared" si="1"/>
        <v>3.2604638888888888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572.45839999999998</v>
      </c>
      <c r="E26" s="34">
        <v>31.596900000000002</v>
      </c>
      <c r="F26" s="34">
        <v>37.089300000000001</v>
      </c>
      <c r="G26" s="34">
        <v>38.700499999999998</v>
      </c>
      <c r="H26" s="34">
        <v>10546.42</v>
      </c>
      <c r="I26" s="34">
        <v>14.8</v>
      </c>
      <c r="J26" s="35">
        <f t="shared" si="0"/>
        <v>2.9295611111111111</v>
      </c>
      <c r="L26" s="33">
        <v>572.45839999999998</v>
      </c>
      <c r="M26" s="34">
        <v>31.596900000000002</v>
      </c>
      <c r="N26" s="34">
        <v>37.089300000000001</v>
      </c>
      <c r="O26" s="34">
        <v>38.700499999999998</v>
      </c>
      <c r="P26" s="34">
        <v>10511.33</v>
      </c>
      <c r="Q26" s="34">
        <v>14.45</v>
      </c>
      <c r="R26" s="35">
        <f t="shared" si="1"/>
        <v>2.9198138888888887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19624.691999999999</v>
      </c>
      <c r="E27" s="15">
        <v>38.740099999999998</v>
      </c>
      <c r="F27" s="15">
        <v>40.137</v>
      </c>
      <c r="G27" s="15">
        <v>43.48</v>
      </c>
      <c r="H27" s="15">
        <v>37180.99</v>
      </c>
      <c r="I27" s="15">
        <v>56.38</v>
      </c>
      <c r="J27" s="16">
        <f t="shared" si="0"/>
        <v>10.328052777777778</v>
      </c>
      <c r="L27" s="14">
        <v>19624.691999999999</v>
      </c>
      <c r="M27" s="15">
        <v>38.740099999999998</v>
      </c>
      <c r="N27" s="15">
        <v>40.137</v>
      </c>
      <c r="O27" s="15">
        <v>43.48</v>
      </c>
      <c r="P27" s="15">
        <v>37232.6</v>
      </c>
      <c r="Q27" s="15">
        <v>56.11</v>
      </c>
      <c r="R27" s="16">
        <f t="shared" si="1"/>
        <v>10.342388888888889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5656.0648000000001</v>
      </c>
      <c r="E28" s="25">
        <v>36.744700000000002</v>
      </c>
      <c r="F28" s="25">
        <v>38.906100000000002</v>
      </c>
      <c r="G28" s="25">
        <v>41.426099999999998</v>
      </c>
      <c r="H28" s="25">
        <v>28401.759999999998</v>
      </c>
      <c r="I28" s="25">
        <v>38.770000000000003</v>
      </c>
      <c r="J28" s="26">
        <f t="shared" si="0"/>
        <v>7.8893777777777769</v>
      </c>
      <c r="L28" s="24">
        <v>5656.0648000000001</v>
      </c>
      <c r="M28" s="25">
        <v>36.744700000000002</v>
      </c>
      <c r="N28" s="25">
        <v>38.906100000000002</v>
      </c>
      <c r="O28" s="25">
        <v>41.426099999999998</v>
      </c>
      <c r="P28" s="25">
        <v>28455.19</v>
      </c>
      <c r="Q28" s="25">
        <v>38.46</v>
      </c>
      <c r="R28" s="26">
        <f t="shared" si="1"/>
        <v>7.9042194444444442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2555.4992000000002</v>
      </c>
      <c r="E29" s="25">
        <v>34.570799999999998</v>
      </c>
      <c r="F29" s="25">
        <v>37.929499999999997</v>
      </c>
      <c r="G29" s="25">
        <v>39.754199999999997</v>
      </c>
      <c r="H29" s="25">
        <v>24554.78</v>
      </c>
      <c r="I29" s="25">
        <v>33.22</v>
      </c>
      <c r="J29" s="26">
        <f t="shared" si="0"/>
        <v>6.8207722222222218</v>
      </c>
      <c r="L29" s="24">
        <v>2555.4992000000002</v>
      </c>
      <c r="M29" s="25">
        <v>34.570799999999998</v>
      </c>
      <c r="N29" s="25">
        <v>37.929499999999997</v>
      </c>
      <c r="O29" s="25">
        <v>39.754199999999997</v>
      </c>
      <c r="P29" s="25">
        <v>24515.55</v>
      </c>
      <c r="Q29" s="25">
        <v>32.659999999999997</v>
      </c>
      <c r="R29" s="26">
        <f t="shared" si="1"/>
        <v>6.8098749999999999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1261.704</v>
      </c>
      <c r="E30" s="34">
        <v>32.224899999999998</v>
      </c>
      <c r="F30" s="34">
        <v>37.197299999999998</v>
      </c>
      <c r="G30" s="34">
        <v>38.549199999999999</v>
      </c>
      <c r="H30" s="34">
        <v>22088.21</v>
      </c>
      <c r="I30" s="34">
        <v>29.1</v>
      </c>
      <c r="J30" s="35">
        <f t="shared" si="0"/>
        <v>6.1356138888888889</v>
      </c>
      <c r="L30" s="33">
        <v>1261.704</v>
      </c>
      <c r="M30" s="34">
        <v>32.224899999999998</v>
      </c>
      <c r="N30" s="34">
        <v>37.197299999999998</v>
      </c>
      <c r="O30" s="34">
        <v>38.549199999999999</v>
      </c>
      <c r="P30" s="34">
        <v>22078.57</v>
      </c>
      <c r="Q30" s="34">
        <v>29.29</v>
      </c>
      <c r="R30" s="35">
        <f t="shared" si="1"/>
        <v>6.1329361111111114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19374.837599999999</v>
      </c>
      <c r="E31" s="15">
        <v>39.4878</v>
      </c>
      <c r="F31" s="15">
        <v>43.782400000000003</v>
      </c>
      <c r="G31" s="15">
        <v>45.030200000000001</v>
      </c>
      <c r="H31" s="15">
        <v>44244.21</v>
      </c>
      <c r="I31" s="15">
        <v>61.16</v>
      </c>
      <c r="J31" s="16">
        <f t="shared" si="0"/>
        <v>12.290058333333333</v>
      </c>
      <c r="L31" s="14">
        <v>19374.837599999999</v>
      </c>
      <c r="M31" s="15">
        <v>39.4878</v>
      </c>
      <c r="N31" s="15">
        <v>43.782400000000003</v>
      </c>
      <c r="O31" s="15">
        <v>45.030200000000001</v>
      </c>
      <c r="P31" s="15">
        <v>44160.34</v>
      </c>
      <c r="Q31" s="15">
        <v>61.06</v>
      </c>
      <c r="R31" s="16">
        <f t="shared" si="1"/>
        <v>12.26676111111111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6657.6927999999998</v>
      </c>
      <c r="E32" s="25">
        <v>37.548400000000001</v>
      </c>
      <c r="F32" s="25">
        <v>42.2774</v>
      </c>
      <c r="G32" s="25">
        <v>42.731299999999997</v>
      </c>
      <c r="H32" s="25">
        <v>35307.1</v>
      </c>
      <c r="I32" s="25">
        <v>46.09</v>
      </c>
      <c r="J32" s="26">
        <f t="shared" si="0"/>
        <v>9.8075277777777767</v>
      </c>
      <c r="L32" s="24">
        <v>6657.6927999999998</v>
      </c>
      <c r="M32" s="25">
        <v>37.548400000000001</v>
      </c>
      <c r="N32" s="25">
        <v>42.2774</v>
      </c>
      <c r="O32" s="25">
        <v>42.731299999999997</v>
      </c>
      <c r="P32" s="25">
        <v>35297.480000000003</v>
      </c>
      <c r="Q32" s="25">
        <v>45.51</v>
      </c>
      <c r="R32" s="26">
        <f t="shared" si="1"/>
        <v>9.804855555555557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3086.9032000000002</v>
      </c>
      <c r="E33" s="25">
        <v>35.543100000000003</v>
      </c>
      <c r="F33" s="25">
        <v>40.922199999999997</v>
      </c>
      <c r="G33" s="25">
        <v>40.757800000000003</v>
      </c>
      <c r="H33" s="25">
        <v>29926.240000000002</v>
      </c>
      <c r="I33" s="25">
        <v>38.340000000000003</v>
      </c>
      <c r="J33" s="26">
        <f t="shared" si="0"/>
        <v>8.312844444444444</v>
      </c>
      <c r="L33" s="24">
        <v>3086.9032000000002</v>
      </c>
      <c r="M33" s="25">
        <v>35.543100000000003</v>
      </c>
      <c r="N33" s="25">
        <v>40.922199999999997</v>
      </c>
      <c r="O33" s="25">
        <v>40.757800000000003</v>
      </c>
      <c r="P33" s="25">
        <v>29917.61</v>
      </c>
      <c r="Q33" s="25">
        <v>38.409999999999997</v>
      </c>
      <c r="R33" s="26">
        <f t="shared" si="1"/>
        <v>8.3104472222222228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1572.6976</v>
      </c>
      <c r="E34" s="34">
        <v>33.384700000000002</v>
      </c>
      <c r="F34" s="34">
        <v>39.901000000000003</v>
      </c>
      <c r="G34" s="34">
        <v>39.369799999999998</v>
      </c>
      <c r="H34" s="34">
        <v>26397.46</v>
      </c>
      <c r="I34" s="34">
        <v>34.06</v>
      </c>
      <c r="J34" s="35">
        <f t="shared" si="0"/>
        <v>7.3326277777777777</v>
      </c>
      <c r="L34" s="33">
        <v>1572.6976</v>
      </c>
      <c r="M34" s="34">
        <v>33.384700000000002</v>
      </c>
      <c r="N34" s="34">
        <v>39.901000000000003</v>
      </c>
      <c r="O34" s="34">
        <v>39.369799999999998</v>
      </c>
      <c r="P34" s="34">
        <v>26314.400000000001</v>
      </c>
      <c r="Q34" s="34">
        <v>33.630000000000003</v>
      </c>
      <c r="R34" s="35">
        <f t="shared" si="1"/>
        <v>7.3095555555555558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52251.422400000003</v>
      </c>
      <c r="E35" s="15">
        <v>38.2821</v>
      </c>
      <c r="F35" s="15">
        <v>42.061700000000002</v>
      </c>
      <c r="G35" s="15">
        <v>44.267600000000002</v>
      </c>
      <c r="H35" s="15">
        <v>51505</v>
      </c>
      <c r="I35" s="15">
        <v>93.77</v>
      </c>
      <c r="J35" s="16">
        <f t="shared" si="0"/>
        <v>14.306944444444444</v>
      </c>
      <c r="L35" s="14">
        <v>52251.422400000003</v>
      </c>
      <c r="M35" s="15">
        <v>38.2821</v>
      </c>
      <c r="N35" s="15">
        <v>42.061700000000002</v>
      </c>
      <c r="O35" s="15">
        <v>44.267600000000002</v>
      </c>
      <c r="P35" s="15">
        <v>51467.23</v>
      </c>
      <c r="Q35" s="15">
        <v>92.4</v>
      </c>
      <c r="R35" s="16">
        <f t="shared" si="1"/>
        <v>14.296452777777779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7474.4247999999998</v>
      </c>
      <c r="E36" s="25">
        <v>35.423499999999997</v>
      </c>
      <c r="F36" s="25">
        <v>40.543599999999998</v>
      </c>
      <c r="G36" s="25">
        <v>42.965899999999998</v>
      </c>
      <c r="H36" s="25">
        <v>31552.1</v>
      </c>
      <c r="I36" s="25">
        <v>51.01</v>
      </c>
      <c r="J36" s="26">
        <f t="shared" si="0"/>
        <v>8.7644722222222224</v>
      </c>
      <c r="L36" s="24">
        <v>7474.4247999999998</v>
      </c>
      <c r="M36" s="25">
        <v>35.423499999999997</v>
      </c>
      <c r="N36" s="25">
        <v>40.543599999999998</v>
      </c>
      <c r="O36" s="25">
        <v>42.965899999999998</v>
      </c>
      <c r="P36" s="25">
        <v>31589.01</v>
      </c>
      <c r="Q36" s="25">
        <v>50.24</v>
      </c>
      <c r="R36" s="26">
        <f t="shared" si="1"/>
        <v>8.7747250000000001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1976.7616</v>
      </c>
      <c r="E37" s="25">
        <v>33.572899999999997</v>
      </c>
      <c r="F37" s="25">
        <v>39.208100000000002</v>
      </c>
      <c r="G37" s="25">
        <v>41.876199999999997</v>
      </c>
      <c r="H37" s="25">
        <v>25969.13</v>
      </c>
      <c r="I37" s="25">
        <v>39.5</v>
      </c>
      <c r="J37" s="26">
        <f t="shared" si="0"/>
        <v>7.2136472222222228</v>
      </c>
      <c r="L37" s="24">
        <v>1976.7616</v>
      </c>
      <c r="M37" s="25">
        <v>33.572899999999997</v>
      </c>
      <c r="N37" s="25">
        <v>39.208100000000002</v>
      </c>
      <c r="O37" s="25">
        <v>41.876199999999997</v>
      </c>
      <c r="P37" s="25">
        <v>25826.66</v>
      </c>
      <c r="Q37" s="25">
        <v>39.340000000000003</v>
      </c>
      <c r="R37" s="26">
        <f t="shared" si="1"/>
        <v>7.1740722222222217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748.98800000000006</v>
      </c>
      <c r="E38" s="34">
        <v>31.3139</v>
      </c>
      <c r="F38" s="34">
        <v>38.316499999999998</v>
      </c>
      <c r="G38" s="34">
        <v>41.058700000000002</v>
      </c>
      <c r="H38" s="34">
        <v>23691.32</v>
      </c>
      <c r="I38" s="34">
        <v>34.99</v>
      </c>
      <c r="J38" s="35">
        <f t="shared" si="0"/>
        <v>6.5809222222222221</v>
      </c>
      <c r="L38" s="33">
        <v>748.98800000000006</v>
      </c>
      <c r="M38" s="34">
        <v>31.3139</v>
      </c>
      <c r="N38" s="34">
        <v>38.316499999999998</v>
      </c>
      <c r="O38" s="34">
        <v>41.058700000000002</v>
      </c>
      <c r="P38" s="34">
        <v>23695.43</v>
      </c>
      <c r="Q38" s="34">
        <v>34.909999999999997</v>
      </c>
      <c r="R38" s="35">
        <f t="shared" si="1"/>
        <v>6.5820638888888894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3615.8231999999998</v>
      </c>
      <c r="E39" s="15">
        <v>40.341900000000003</v>
      </c>
      <c r="F39" s="15">
        <v>42.761899999999997</v>
      </c>
      <c r="G39" s="15">
        <v>43.299100000000003</v>
      </c>
      <c r="H39" s="15">
        <v>7721.78</v>
      </c>
      <c r="I39" s="15">
        <v>11.5</v>
      </c>
      <c r="J39" s="16">
        <f t="shared" si="0"/>
        <v>2.144938888888889</v>
      </c>
      <c r="L39" s="14">
        <v>3615.8231999999998</v>
      </c>
      <c r="M39" s="15">
        <v>40.341900000000003</v>
      </c>
      <c r="N39" s="15">
        <v>42.761899999999997</v>
      </c>
      <c r="O39" s="15">
        <v>43.299100000000003</v>
      </c>
      <c r="P39" s="15">
        <v>7723.28</v>
      </c>
      <c r="Q39" s="15">
        <v>11.51</v>
      </c>
      <c r="R39" s="16">
        <f t="shared" si="1"/>
        <v>2.1453555555555557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1706.3488</v>
      </c>
      <c r="E40" s="25">
        <v>37.046399999999998</v>
      </c>
      <c r="F40" s="25">
        <v>39.979900000000001</v>
      </c>
      <c r="G40" s="25">
        <v>40.320399999999999</v>
      </c>
      <c r="H40" s="25">
        <v>6477.85</v>
      </c>
      <c r="I40" s="25">
        <v>9.32</v>
      </c>
      <c r="J40" s="26">
        <f t="shared" si="0"/>
        <v>1.7994027777777779</v>
      </c>
      <c r="L40" s="24">
        <v>1706.3488</v>
      </c>
      <c r="M40" s="25">
        <v>37.046399999999998</v>
      </c>
      <c r="N40" s="25">
        <v>39.979900000000001</v>
      </c>
      <c r="O40" s="25">
        <v>40.320399999999999</v>
      </c>
      <c r="P40" s="25">
        <v>6451.73</v>
      </c>
      <c r="Q40" s="25">
        <v>9.32</v>
      </c>
      <c r="R40" s="26">
        <f t="shared" si="1"/>
        <v>1.7921472222222221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812.11839999999995</v>
      </c>
      <c r="E41" s="25">
        <v>34.067300000000003</v>
      </c>
      <c r="F41" s="25">
        <v>37.887900000000002</v>
      </c>
      <c r="G41" s="25">
        <v>38.006700000000002</v>
      </c>
      <c r="H41" s="25">
        <v>5477.63</v>
      </c>
      <c r="I41" s="25">
        <v>7.54</v>
      </c>
      <c r="J41" s="26">
        <f t="shared" si="0"/>
        <v>1.5215638888888889</v>
      </c>
      <c r="L41" s="24">
        <v>812.11839999999995</v>
      </c>
      <c r="M41" s="25">
        <v>34.067300000000003</v>
      </c>
      <c r="N41" s="25">
        <v>37.887900000000002</v>
      </c>
      <c r="O41" s="25">
        <v>38.006700000000002</v>
      </c>
      <c r="P41" s="25">
        <v>5513.94</v>
      </c>
      <c r="Q41" s="25">
        <v>7.53</v>
      </c>
      <c r="R41" s="26">
        <f t="shared" si="1"/>
        <v>1.53165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414.23919999999998</v>
      </c>
      <c r="E42" s="34">
        <v>31.5122</v>
      </c>
      <c r="F42" s="34">
        <v>36.471299999999999</v>
      </c>
      <c r="G42" s="34">
        <v>36.450000000000003</v>
      </c>
      <c r="H42" s="34">
        <v>4811.84</v>
      </c>
      <c r="I42" s="34">
        <v>6.27</v>
      </c>
      <c r="J42" s="35">
        <f t="shared" si="0"/>
        <v>1.3366222222222222</v>
      </c>
      <c r="L42" s="33">
        <v>414.23919999999998</v>
      </c>
      <c r="M42" s="34">
        <v>31.5122</v>
      </c>
      <c r="N42" s="34">
        <v>36.471299999999999</v>
      </c>
      <c r="O42" s="34">
        <v>36.450000000000003</v>
      </c>
      <c r="P42" s="34">
        <v>4800.3599999999997</v>
      </c>
      <c r="Q42" s="34">
        <v>6.47</v>
      </c>
      <c r="R42" s="35">
        <f t="shared" si="1"/>
        <v>1.3334333333333332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4119.3639999999996</v>
      </c>
      <c r="E43" s="15">
        <v>40.2239</v>
      </c>
      <c r="F43" s="15">
        <v>43.177999999999997</v>
      </c>
      <c r="G43" s="15">
        <v>44.583199999999998</v>
      </c>
      <c r="H43" s="15">
        <v>8559.4599999999991</v>
      </c>
      <c r="I43" s="15">
        <v>13.47</v>
      </c>
      <c r="J43" s="16">
        <f t="shared" si="0"/>
        <v>2.3776277777777777</v>
      </c>
      <c r="L43" s="14">
        <v>4119.3639999999996</v>
      </c>
      <c r="M43" s="15">
        <v>40.2239</v>
      </c>
      <c r="N43" s="15">
        <v>43.177999999999997</v>
      </c>
      <c r="O43" s="15">
        <v>44.583199999999998</v>
      </c>
      <c r="P43" s="15">
        <v>8528.11</v>
      </c>
      <c r="Q43" s="15">
        <v>13.63</v>
      </c>
      <c r="R43" s="16">
        <f t="shared" si="1"/>
        <v>2.3689194444444448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1851.7064</v>
      </c>
      <c r="E44" s="25">
        <v>37.293900000000001</v>
      </c>
      <c r="F44" s="25">
        <v>40.958799999999997</v>
      </c>
      <c r="G44" s="25">
        <v>42.0154</v>
      </c>
      <c r="H44" s="25">
        <v>7030.78</v>
      </c>
      <c r="I44" s="25">
        <v>10.45</v>
      </c>
      <c r="J44" s="26">
        <f t="shared" si="0"/>
        <v>1.9529944444444445</v>
      </c>
      <c r="L44" s="24">
        <v>1851.7064</v>
      </c>
      <c r="M44" s="25">
        <v>37.293900000000001</v>
      </c>
      <c r="N44" s="25">
        <v>40.958799999999997</v>
      </c>
      <c r="O44" s="25">
        <v>42.0154</v>
      </c>
      <c r="P44" s="25">
        <v>7018.9</v>
      </c>
      <c r="Q44" s="25">
        <v>10.47</v>
      </c>
      <c r="R44" s="26">
        <f t="shared" si="1"/>
        <v>1.9496944444444444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895.15920000000006</v>
      </c>
      <c r="E45" s="25">
        <v>34.286499999999997</v>
      </c>
      <c r="F45" s="25">
        <v>39.162199999999999</v>
      </c>
      <c r="G45" s="25">
        <v>40.083100000000002</v>
      </c>
      <c r="H45" s="25">
        <v>6124.29</v>
      </c>
      <c r="I45" s="25">
        <v>8.74</v>
      </c>
      <c r="J45" s="26">
        <f t="shared" si="0"/>
        <v>1.7011916666666667</v>
      </c>
      <c r="L45" s="24">
        <v>895.15920000000006</v>
      </c>
      <c r="M45" s="25">
        <v>34.286499999999997</v>
      </c>
      <c r="N45" s="25">
        <v>39.162199999999999</v>
      </c>
      <c r="O45" s="25">
        <v>40.083100000000002</v>
      </c>
      <c r="P45" s="25">
        <v>6082.26</v>
      </c>
      <c r="Q45" s="25">
        <v>8.6999999999999993</v>
      </c>
      <c r="R45" s="26">
        <f t="shared" si="1"/>
        <v>1.6895166666666668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454.78960000000001</v>
      </c>
      <c r="E46" s="34">
        <v>31.357800000000001</v>
      </c>
      <c r="F46" s="34">
        <v>37.880299999999998</v>
      </c>
      <c r="G46" s="34">
        <v>38.686199999999999</v>
      </c>
      <c r="H46" s="34">
        <v>5477.84</v>
      </c>
      <c r="I46" s="34">
        <v>7.5</v>
      </c>
      <c r="J46" s="35">
        <f t="shared" si="0"/>
        <v>1.5216222222222222</v>
      </c>
      <c r="L46" s="33">
        <v>454.78960000000001</v>
      </c>
      <c r="M46" s="34">
        <v>31.357800000000001</v>
      </c>
      <c r="N46" s="34">
        <v>37.880299999999998</v>
      </c>
      <c r="O46" s="34">
        <v>38.686199999999999</v>
      </c>
      <c r="P46" s="34">
        <v>5462.25</v>
      </c>
      <c r="Q46" s="34">
        <v>7.54</v>
      </c>
      <c r="R46" s="35">
        <f t="shared" si="1"/>
        <v>1.5172916666666667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8000.0479999999998</v>
      </c>
      <c r="E47" s="15">
        <v>38.438699999999997</v>
      </c>
      <c r="F47" s="15">
        <v>41.133400000000002</v>
      </c>
      <c r="G47" s="15">
        <v>42.0503</v>
      </c>
      <c r="H47" s="15">
        <v>8754.16</v>
      </c>
      <c r="I47" s="15">
        <v>15.38</v>
      </c>
      <c r="J47" s="16">
        <f t="shared" si="0"/>
        <v>2.4317111111111109</v>
      </c>
      <c r="L47" s="14">
        <v>8000.0479999999998</v>
      </c>
      <c r="M47" s="15">
        <v>38.438699999999997</v>
      </c>
      <c r="N47" s="15">
        <v>41.133400000000002</v>
      </c>
      <c r="O47" s="15">
        <v>42.0503</v>
      </c>
      <c r="P47" s="15">
        <v>8719.81</v>
      </c>
      <c r="Q47" s="15">
        <v>15.18</v>
      </c>
      <c r="R47" s="16">
        <f t="shared" si="1"/>
        <v>2.4221694444444442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3427.2256000000002</v>
      </c>
      <c r="E48" s="25">
        <v>34.545499999999997</v>
      </c>
      <c r="F48" s="25">
        <v>38.298200000000001</v>
      </c>
      <c r="G48" s="25">
        <v>39.139600000000002</v>
      </c>
      <c r="H48" s="25">
        <v>6912.28</v>
      </c>
      <c r="I48" s="25">
        <v>11.55</v>
      </c>
      <c r="J48" s="26">
        <f t="shared" si="0"/>
        <v>1.9200777777777778</v>
      </c>
      <c r="L48" s="24">
        <v>3427.2256000000002</v>
      </c>
      <c r="M48" s="25">
        <v>34.545499999999997</v>
      </c>
      <c r="N48" s="25">
        <v>38.298200000000001</v>
      </c>
      <c r="O48" s="25">
        <v>39.139600000000002</v>
      </c>
      <c r="P48" s="25">
        <v>6880.51</v>
      </c>
      <c r="Q48" s="25">
        <v>11.54</v>
      </c>
      <c r="R48" s="26">
        <f t="shared" si="1"/>
        <v>1.9112527777777779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1496.9472000000001</v>
      </c>
      <c r="E49" s="25">
        <v>31.041899999999998</v>
      </c>
      <c r="F49" s="25">
        <v>36.298499999999997</v>
      </c>
      <c r="G49" s="25">
        <v>37.0747</v>
      </c>
      <c r="H49" s="25">
        <v>5652.98</v>
      </c>
      <c r="I49" s="25">
        <v>8.83</v>
      </c>
      <c r="J49" s="26">
        <f t="shared" si="0"/>
        <v>1.5702722222222221</v>
      </c>
      <c r="L49" s="24">
        <v>1496.9472000000001</v>
      </c>
      <c r="M49" s="25">
        <v>31.041899999999998</v>
      </c>
      <c r="N49" s="25">
        <v>36.298499999999997</v>
      </c>
      <c r="O49" s="25">
        <v>37.0747</v>
      </c>
      <c r="P49" s="25">
        <v>5632.87</v>
      </c>
      <c r="Q49" s="25">
        <v>8.7899999999999991</v>
      </c>
      <c r="R49" s="26">
        <f t="shared" si="1"/>
        <v>1.564686111111111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639.64959999999996</v>
      </c>
      <c r="E50" s="34">
        <v>27.778099999999998</v>
      </c>
      <c r="F50" s="34">
        <v>34.962699999999998</v>
      </c>
      <c r="G50" s="34">
        <v>35.7134</v>
      </c>
      <c r="H50" s="34">
        <v>4788.12</v>
      </c>
      <c r="I50" s="34">
        <v>7.18</v>
      </c>
      <c r="J50" s="35">
        <f t="shared" si="0"/>
        <v>1.3300333333333334</v>
      </c>
      <c r="L50" s="33">
        <v>639.64959999999996</v>
      </c>
      <c r="M50" s="34">
        <v>27.778099999999998</v>
      </c>
      <c r="N50" s="34">
        <v>34.962699999999998</v>
      </c>
      <c r="O50" s="34">
        <v>35.7134</v>
      </c>
      <c r="P50" s="34">
        <v>4831.5200000000004</v>
      </c>
      <c r="Q50" s="34">
        <v>7.14</v>
      </c>
      <c r="R50" s="35">
        <f t="shared" si="1"/>
        <v>1.3420888888888891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5655.6984000000002</v>
      </c>
      <c r="E51" s="15">
        <v>39.969700000000003</v>
      </c>
      <c r="F51" s="15">
        <v>41.4467</v>
      </c>
      <c r="G51" s="15">
        <v>42.848500000000001</v>
      </c>
      <c r="H51" s="15">
        <v>6608.2</v>
      </c>
      <c r="I51" s="15">
        <v>9.59</v>
      </c>
      <c r="J51" s="16">
        <f t="shared" si="0"/>
        <v>1.8356111111111111</v>
      </c>
      <c r="L51" s="14">
        <v>5655.6984000000002</v>
      </c>
      <c r="M51" s="15">
        <v>39.969700000000003</v>
      </c>
      <c r="N51" s="15">
        <v>41.4467</v>
      </c>
      <c r="O51" s="15">
        <v>42.848500000000001</v>
      </c>
      <c r="P51" s="15">
        <v>6599.06</v>
      </c>
      <c r="Q51" s="15">
        <v>9.7100000000000009</v>
      </c>
      <c r="R51" s="16">
        <f t="shared" si="1"/>
        <v>1.8330722222222224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2252.0680000000002</v>
      </c>
      <c r="E52" s="25">
        <v>36.239800000000002</v>
      </c>
      <c r="F52" s="25">
        <v>38.763399999999997</v>
      </c>
      <c r="G52" s="25">
        <v>40.405799999999999</v>
      </c>
      <c r="H52" s="25">
        <v>5414.01</v>
      </c>
      <c r="I52" s="25">
        <v>7.32</v>
      </c>
      <c r="J52" s="26">
        <f t="shared" si="0"/>
        <v>1.5038916666666666</v>
      </c>
      <c r="L52" s="24">
        <v>2252.0680000000002</v>
      </c>
      <c r="M52" s="25">
        <v>36.239800000000002</v>
      </c>
      <c r="N52" s="25">
        <v>38.763399999999997</v>
      </c>
      <c r="O52" s="25">
        <v>40.405799999999999</v>
      </c>
      <c r="P52" s="25">
        <v>5404.49</v>
      </c>
      <c r="Q52" s="25">
        <v>7.31</v>
      </c>
      <c r="R52" s="26">
        <f t="shared" si="1"/>
        <v>1.5012472222222222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991.76880000000006</v>
      </c>
      <c r="E53" s="25">
        <v>33.044199999999996</v>
      </c>
      <c r="F53" s="25">
        <v>36.806199999999997</v>
      </c>
      <c r="G53" s="25">
        <v>38.5045</v>
      </c>
      <c r="H53" s="25">
        <v>4494.6499999999996</v>
      </c>
      <c r="I53" s="25">
        <v>5.74</v>
      </c>
      <c r="J53" s="26">
        <f t="shared" si="0"/>
        <v>1.2485138888888887</v>
      </c>
      <c r="L53" s="24">
        <v>991.76880000000006</v>
      </c>
      <c r="M53" s="25">
        <v>33.044199999999996</v>
      </c>
      <c r="N53" s="25">
        <v>36.806199999999997</v>
      </c>
      <c r="O53" s="25">
        <v>38.5045</v>
      </c>
      <c r="P53" s="25">
        <v>4497.42</v>
      </c>
      <c r="Q53" s="25">
        <v>5.79</v>
      </c>
      <c r="R53" s="26">
        <f t="shared" si="1"/>
        <v>1.2492833333333333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454.89600000000002</v>
      </c>
      <c r="E54" s="34">
        <v>30.161200000000001</v>
      </c>
      <c r="F54" s="34">
        <v>35.556699999999999</v>
      </c>
      <c r="G54" s="34">
        <v>37.235900000000001</v>
      </c>
      <c r="H54" s="34">
        <v>3840.85</v>
      </c>
      <c r="I54" s="34">
        <v>4.76</v>
      </c>
      <c r="J54" s="35">
        <f t="shared" si="0"/>
        <v>1.0669027777777778</v>
      </c>
      <c r="L54" s="33">
        <v>454.89600000000002</v>
      </c>
      <c r="M54" s="34">
        <v>30.161200000000001</v>
      </c>
      <c r="N54" s="34">
        <v>35.556699999999999</v>
      </c>
      <c r="O54" s="34">
        <v>37.235900000000001</v>
      </c>
      <c r="P54" s="34">
        <v>3840.59</v>
      </c>
      <c r="Q54" s="34">
        <v>4.71</v>
      </c>
      <c r="R54" s="35">
        <f t="shared" si="1"/>
        <v>1.0668305555555555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1712.2816</v>
      </c>
      <c r="E55" s="15">
        <v>41.0182</v>
      </c>
      <c r="F55" s="15">
        <v>43.611800000000002</v>
      </c>
      <c r="G55" s="15">
        <v>43.011200000000002</v>
      </c>
      <c r="H55" s="15">
        <v>2109.4</v>
      </c>
      <c r="I55" s="15">
        <v>3.5</v>
      </c>
      <c r="J55" s="16">
        <f t="shared" si="0"/>
        <v>0.58594444444444449</v>
      </c>
      <c r="L55" s="14">
        <v>1712.2816</v>
      </c>
      <c r="M55" s="15">
        <v>41.0182</v>
      </c>
      <c r="N55" s="15">
        <v>43.611800000000002</v>
      </c>
      <c r="O55" s="15">
        <v>43.011200000000002</v>
      </c>
      <c r="P55" s="15">
        <v>2097.59</v>
      </c>
      <c r="Q55" s="15">
        <v>3.51</v>
      </c>
      <c r="R55" s="16">
        <f t="shared" si="1"/>
        <v>0.58266388888888898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852.29759999999999</v>
      </c>
      <c r="E56" s="25">
        <v>37.034999999999997</v>
      </c>
      <c r="F56" s="25">
        <v>40.716299999999997</v>
      </c>
      <c r="G56" s="25">
        <v>39.689900000000002</v>
      </c>
      <c r="H56" s="25">
        <v>1816.32</v>
      </c>
      <c r="I56" s="25">
        <v>2.88</v>
      </c>
      <c r="J56" s="26">
        <f t="shared" si="0"/>
        <v>0.50453333333333328</v>
      </c>
      <c r="L56" s="24">
        <v>852.29759999999999</v>
      </c>
      <c r="M56" s="25">
        <v>37.034999999999997</v>
      </c>
      <c r="N56" s="25">
        <v>40.716299999999997</v>
      </c>
      <c r="O56" s="25">
        <v>39.689900000000002</v>
      </c>
      <c r="P56" s="25">
        <v>1809.14</v>
      </c>
      <c r="Q56" s="25">
        <v>2.87</v>
      </c>
      <c r="R56" s="26">
        <f t="shared" si="1"/>
        <v>0.50253888888888887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413.92079999999999</v>
      </c>
      <c r="E57" s="25">
        <v>33.497500000000002</v>
      </c>
      <c r="F57" s="25">
        <v>38.611499999999999</v>
      </c>
      <c r="G57" s="25">
        <v>37.212400000000002</v>
      </c>
      <c r="H57" s="25">
        <v>1561.15</v>
      </c>
      <c r="I57" s="25">
        <v>2.39</v>
      </c>
      <c r="J57" s="26">
        <f t="shared" si="0"/>
        <v>0.43365277777777778</v>
      </c>
      <c r="L57" s="24">
        <v>413.92079999999999</v>
      </c>
      <c r="M57" s="25">
        <v>33.497500000000002</v>
      </c>
      <c r="N57" s="25">
        <v>38.611499999999999</v>
      </c>
      <c r="O57" s="25">
        <v>37.212400000000002</v>
      </c>
      <c r="P57" s="25">
        <v>1554.93</v>
      </c>
      <c r="Q57" s="25">
        <v>2.36</v>
      </c>
      <c r="R57" s="26">
        <f t="shared" si="1"/>
        <v>0.431925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208.20160000000001</v>
      </c>
      <c r="E58" s="34">
        <v>30.5413</v>
      </c>
      <c r="F58" s="34">
        <v>37.228000000000002</v>
      </c>
      <c r="G58" s="34">
        <v>35.604300000000002</v>
      </c>
      <c r="H58" s="34">
        <v>1347.34</v>
      </c>
      <c r="I58" s="34">
        <v>2.02</v>
      </c>
      <c r="J58" s="35">
        <f t="shared" si="0"/>
        <v>0.3742611111111111</v>
      </c>
      <c r="L58" s="33">
        <v>208.20160000000001</v>
      </c>
      <c r="M58" s="34">
        <v>30.5413</v>
      </c>
      <c r="N58" s="34">
        <v>37.228000000000002</v>
      </c>
      <c r="O58" s="34">
        <v>35.604300000000002</v>
      </c>
      <c r="P58" s="34">
        <v>1345.93</v>
      </c>
      <c r="Q58" s="34">
        <v>1.99</v>
      </c>
      <c r="R58" s="35">
        <f t="shared" si="1"/>
        <v>0.37386944444444448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2211.4720000000002</v>
      </c>
      <c r="E59" s="15">
        <v>38.444400000000002</v>
      </c>
      <c r="F59" s="15">
        <v>42.7423</v>
      </c>
      <c r="G59" s="15">
        <v>43.801900000000003</v>
      </c>
      <c r="H59" s="15">
        <v>2310.38</v>
      </c>
      <c r="I59" s="15">
        <v>4.63</v>
      </c>
      <c r="J59" s="16">
        <f t="shared" si="0"/>
        <v>0.6417722222222223</v>
      </c>
      <c r="L59" s="14">
        <v>2211.4720000000002</v>
      </c>
      <c r="M59" s="15">
        <v>38.444400000000002</v>
      </c>
      <c r="N59" s="15">
        <v>42.7423</v>
      </c>
      <c r="O59" s="15">
        <v>43.801900000000003</v>
      </c>
      <c r="P59" s="15">
        <v>2306.73</v>
      </c>
      <c r="Q59" s="15">
        <v>4.62</v>
      </c>
      <c r="R59" s="16">
        <f t="shared" si="1"/>
        <v>0.64075833333333332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766.0752</v>
      </c>
      <c r="E60" s="25">
        <v>34.518500000000003</v>
      </c>
      <c r="F60" s="25">
        <v>40.698599999999999</v>
      </c>
      <c r="G60" s="25">
        <v>41.644399999999997</v>
      </c>
      <c r="H60" s="25">
        <v>1757.94</v>
      </c>
      <c r="I60" s="25">
        <v>3.31</v>
      </c>
      <c r="J60" s="26">
        <f t="shared" si="0"/>
        <v>0.48831666666666668</v>
      </c>
      <c r="L60" s="24">
        <v>766.0752</v>
      </c>
      <c r="M60" s="25">
        <v>34.518500000000003</v>
      </c>
      <c r="N60" s="25">
        <v>40.698599999999999</v>
      </c>
      <c r="O60" s="25">
        <v>41.644399999999997</v>
      </c>
      <c r="P60" s="25">
        <v>1747.53</v>
      </c>
      <c r="Q60" s="25">
        <v>3.28</v>
      </c>
      <c r="R60" s="26">
        <f t="shared" si="1"/>
        <v>0.485425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306.892</v>
      </c>
      <c r="E61" s="25">
        <v>31.3307</v>
      </c>
      <c r="F61" s="25">
        <v>39.329700000000003</v>
      </c>
      <c r="G61" s="25">
        <v>40.1937</v>
      </c>
      <c r="H61" s="25">
        <v>1422.23</v>
      </c>
      <c r="I61" s="25">
        <v>2.54</v>
      </c>
      <c r="J61" s="26">
        <f t="shared" si="0"/>
        <v>0.39506388888888888</v>
      </c>
      <c r="L61" s="24">
        <v>306.892</v>
      </c>
      <c r="M61" s="25">
        <v>31.3307</v>
      </c>
      <c r="N61" s="25">
        <v>39.329700000000003</v>
      </c>
      <c r="O61" s="25">
        <v>40.1937</v>
      </c>
      <c r="P61" s="25">
        <v>1414.03</v>
      </c>
      <c r="Q61" s="25">
        <v>2.56</v>
      </c>
      <c r="R61" s="26">
        <f t="shared" si="1"/>
        <v>0.39278611111111111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125.7608</v>
      </c>
      <c r="E62" s="34">
        <v>28.1859</v>
      </c>
      <c r="F62" s="34">
        <v>38.326300000000003</v>
      </c>
      <c r="G62" s="34">
        <v>39.123600000000003</v>
      </c>
      <c r="H62" s="34">
        <v>1212.1199999999999</v>
      </c>
      <c r="I62" s="34">
        <v>2.08</v>
      </c>
      <c r="J62" s="35">
        <f t="shared" si="0"/>
        <v>0.33669999999999994</v>
      </c>
      <c r="L62" s="33">
        <v>125.7608</v>
      </c>
      <c r="M62" s="34">
        <v>28.1859</v>
      </c>
      <c r="N62" s="34">
        <v>38.326300000000003</v>
      </c>
      <c r="O62" s="34">
        <v>39.123600000000003</v>
      </c>
      <c r="P62" s="34">
        <v>1205.3699999999999</v>
      </c>
      <c r="Q62" s="34">
        <v>2.11</v>
      </c>
      <c r="R62" s="35">
        <f t="shared" si="1"/>
        <v>0.33482499999999998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1925.04</v>
      </c>
      <c r="E63" s="15">
        <v>38.170999999999999</v>
      </c>
      <c r="F63" s="15">
        <v>40.840699999999998</v>
      </c>
      <c r="G63" s="15">
        <v>41.595100000000002</v>
      </c>
      <c r="H63" s="15">
        <v>1981.97</v>
      </c>
      <c r="I63" s="15">
        <v>3.81</v>
      </c>
      <c r="J63" s="16">
        <f t="shared" si="0"/>
        <v>0.55054722222222219</v>
      </c>
      <c r="L63" s="14">
        <v>1925.04</v>
      </c>
      <c r="M63" s="15">
        <v>38.170999999999999</v>
      </c>
      <c r="N63" s="15">
        <v>40.840699999999998</v>
      </c>
      <c r="O63" s="15">
        <v>41.595100000000002</v>
      </c>
      <c r="P63" s="15">
        <v>1974.5</v>
      </c>
      <c r="Q63" s="15">
        <v>3.79</v>
      </c>
      <c r="R63" s="16">
        <f t="shared" si="1"/>
        <v>0.54847222222222225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820.05039999999997</v>
      </c>
      <c r="E64" s="25">
        <v>34.363300000000002</v>
      </c>
      <c r="F64" s="25">
        <v>38.031199999999998</v>
      </c>
      <c r="G64" s="25">
        <v>38.627400000000002</v>
      </c>
      <c r="H64" s="25">
        <v>1562.17</v>
      </c>
      <c r="I64" s="25">
        <v>2.82</v>
      </c>
      <c r="J64" s="26">
        <f t="shared" si="0"/>
        <v>0.43393611111111113</v>
      </c>
      <c r="L64" s="24">
        <v>820.05039999999997</v>
      </c>
      <c r="M64" s="25">
        <v>34.363300000000002</v>
      </c>
      <c r="N64" s="25">
        <v>38.031199999999998</v>
      </c>
      <c r="O64" s="25">
        <v>38.627400000000002</v>
      </c>
      <c r="P64" s="25">
        <v>1538.23</v>
      </c>
      <c r="Q64" s="25">
        <v>2.88</v>
      </c>
      <c r="R64" s="26">
        <f t="shared" si="1"/>
        <v>0.42728611111111109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351.04160000000002</v>
      </c>
      <c r="E65" s="25">
        <v>30.846499999999999</v>
      </c>
      <c r="F65" s="25">
        <v>35.890599999999999</v>
      </c>
      <c r="G65" s="25">
        <v>36.538600000000002</v>
      </c>
      <c r="H65" s="25">
        <v>1259.3499999999999</v>
      </c>
      <c r="I65" s="25">
        <v>2.19</v>
      </c>
      <c r="J65" s="26">
        <f t="shared" si="0"/>
        <v>0.34981944444444441</v>
      </c>
      <c r="L65" s="24">
        <v>351.04160000000002</v>
      </c>
      <c r="M65" s="25">
        <v>30.846499999999999</v>
      </c>
      <c r="N65" s="25">
        <v>35.890599999999999</v>
      </c>
      <c r="O65" s="25">
        <v>36.538600000000002</v>
      </c>
      <c r="P65" s="25">
        <v>1254.04</v>
      </c>
      <c r="Q65" s="25">
        <v>2.23</v>
      </c>
      <c r="R65" s="26">
        <f t="shared" si="1"/>
        <v>0.34834444444444446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147.8896</v>
      </c>
      <c r="E66" s="34">
        <v>27.751899999999999</v>
      </c>
      <c r="F66" s="34">
        <v>34.481499999999997</v>
      </c>
      <c r="G66" s="34">
        <v>35.076900000000002</v>
      </c>
      <c r="H66" s="34">
        <v>1065.93</v>
      </c>
      <c r="I66" s="34">
        <v>1.77</v>
      </c>
      <c r="J66" s="35">
        <f t="shared" si="0"/>
        <v>0.2960916666666667</v>
      </c>
      <c r="L66" s="33">
        <v>147.8896</v>
      </c>
      <c r="M66" s="34">
        <v>27.751899999999999</v>
      </c>
      <c r="N66" s="34">
        <v>34.481499999999997</v>
      </c>
      <c r="O66" s="34">
        <v>35.076900000000002</v>
      </c>
      <c r="P66" s="34">
        <v>1069.42</v>
      </c>
      <c r="Q66" s="34">
        <v>1.79</v>
      </c>
      <c r="R66" s="35">
        <f t="shared" si="1"/>
        <v>0.29706111111111111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1327.6288</v>
      </c>
      <c r="E67" s="15">
        <v>39.979900000000001</v>
      </c>
      <c r="F67" s="15">
        <v>41.27</v>
      </c>
      <c r="G67" s="15">
        <v>42.338900000000002</v>
      </c>
      <c r="H67" s="15">
        <v>1549.76</v>
      </c>
      <c r="I67" s="15">
        <v>2.61</v>
      </c>
      <c r="J67" s="16">
        <f t="shared" si="0"/>
        <v>0.43048888888888887</v>
      </c>
      <c r="L67" s="14">
        <v>1327.6288</v>
      </c>
      <c r="M67" s="15">
        <v>39.979900000000001</v>
      </c>
      <c r="N67" s="15">
        <v>41.27</v>
      </c>
      <c r="O67" s="15">
        <v>42.338900000000002</v>
      </c>
      <c r="P67" s="15">
        <v>1538.45</v>
      </c>
      <c r="Q67" s="15">
        <v>2.58</v>
      </c>
      <c r="R67" s="16">
        <f t="shared" si="1"/>
        <v>0.42734722222222221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632.17840000000001</v>
      </c>
      <c r="E68" s="25">
        <v>35.853299999999997</v>
      </c>
      <c r="F68" s="25">
        <v>38.314300000000003</v>
      </c>
      <c r="G68" s="25">
        <v>39.520800000000001</v>
      </c>
      <c r="H68" s="25">
        <v>1298.23</v>
      </c>
      <c r="I68" s="25">
        <v>2.02</v>
      </c>
      <c r="J68" s="26">
        <f t="shared" si="0"/>
        <v>0.36061944444444444</v>
      </c>
      <c r="L68" s="24">
        <v>632.17840000000001</v>
      </c>
      <c r="M68" s="25">
        <v>35.853299999999997</v>
      </c>
      <c r="N68" s="25">
        <v>38.314300000000003</v>
      </c>
      <c r="O68" s="25">
        <v>39.520800000000001</v>
      </c>
      <c r="P68" s="25">
        <v>1300.94</v>
      </c>
      <c r="Q68" s="25">
        <v>2.02</v>
      </c>
      <c r="R68" s="26">
        <f t="shared" si="1"/>
        <v>0.36137222222222226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297.08159999999998</v>
      </c>
      <c r="E69" s="25">
        <v>32.204000000000001</v>
      </c>
      <c r="F69" s="25">
        <v>36.233899999999998</v>
      </c>
      <c r="G69" s="25">
        <v>37.377600000000001</v>
      </c>
      <c r="H69" s="25">
        <v>1081.3399999999999</v>
      </c>
      <c r="I69" s="25">
        <v>1.58</v>
      </c>
      <c r="J69" s="26">
        <f t="shared" si="0"/>
        <v>0.30037222222222221</v>
      </c>
      <c r="L69" s="24">
        <v>297.08159999999998</v>
      </c>
      <c r="M69" s="25">
        <v>32.204000000000001</v>
      </c>
      <c r="N69" s="25">
        <v>36.233899999999998</v>
      </c>
      <c r="O69" s="25">
        <v>37.377600000000001</v>
      </c>
      <c r="P69" s="25">
        <v>1088.07</v>
      </c>
      <c r="Q69" s="25">
        <v>1.61</v>
      </c>
      <c r="R69" s="26">
        <f t="shared" si="1"/>
        <v>0.30224166666666663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142.8048</v>
      </c>
      <c r="E70" s="34">
        <v>29.32</v>
      </c>
      <c r="F70" s="34">
        <v>34.844099999999997</v>
      </c>
      <c r="G70" s="34">
        <v>35.921199999999999</v>
      </c>
      <c r="H70" s="34">
        <v>913.1</v>
      </c>
      <c r="I70" s="34">
        <v>1.3</v>
      </c>
      <c r="J70" s="35">
        <f t="shared" si="0"/>
        <v>0.25363888888888891</v>
      </c>
      <c r="L70" s="33">
        <v>142.8048</v>
      </c>
      <c r="M70" s="34">
        <v>29.32</v>
      </c>
      <c r="N70" s="34">
        <v>34.844099999999997</v>
      </c>
      <c r="O70" s="34">
        <v>35.921199999999999</v>
      </c>
      <c r="P70" s="34">
        <v>913.15</v>
      </c>
      <c r="Q70" s="34">
        <v>1.29</v>
      </c>
      <c r="R70" s="35">
        <f t="shared" si="1"/>
        <v>0.25365277777777778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2153.0936000000002</v>
      </c>
      <c r="E71" s="15">
        <v>42.75</v>
      </c>
      <c r="F71" s="15">
        <v>46.540700000000001</v>
      </c>
      <c r="G71" s="15">
        <v>47.832900000000002</v>
      </c>
      <c r="H71" s="15">
        <v>12102.54</v>
      </c>
      <c r="I71" s="15">
        <v>17.88</v>
      </c>
      <c r="J71" s="16">
        <f t="shared" si="0"/>
        <v>3.3618166666666669</v>
      </c>
      <c r="L71" s="14">
        <v>2153.0936000000002</v>
      </c>
      <c r="M71" s="15">
        <v>42.75</v>
      </c>
      <c r="N71" s="15">
        <v>46.540700000000001</v>
      </c>
      <c r="O71" s="15">
        <v>47.832900000000002</v>
      </c>
      <c r="P71" s="15">
        <v>12083.81</v>
      </c>
      <c r="Q71" s="15">
        <v>17.899999999999999</v>
      </c>
      <c r="R71" s="16">
        <f t="shared" si="1"/>
        <v>3.3566138888888886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850.42319999999995</v>
      </c>
      <c r="E72" s="25">
        <v>40.3461</v>
      </c>
      <c r="F72" s="25">
        <v>44.376600000000003</v>
      </c>
      <c r="G72" s="25">
        <v>45.651699999999998</v>
      </c>
      <c r="H72" s="25">
        <v>10538.23</v>
      </c>
      <c r="I72" s="25">
        <v>14.53</v>
      </c>
      <c r="J72" s="26">
        <f t="shared" si="0"/>
        <v>2.927286111111111</v>
      </c>
      <c r="L72" s="24">
        <v>850.42319999999995</v>
      </c>
      <c r="M72" s="25">
        <v>40.3461</v>
      </c>
      <c r="N72" s="25">
        <v>44.376600000000003</v>
      </c>
      <c r="O72" s="25">
        <v>45.651699999999998</v>
      </c>
      <c r="P72" s="25">
        <v>10533.21</v>
      </c>
      <c r="Q72" s="25">
        <v>14.8</v>
      </c>
      <c r="R72" s="26">
        <f t="shared" si="1"/>
        <v>2.9258916666666663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418.8784</v>
      </c>
      <c r="E73" s="25">
        <v>37.596600000000002</v>
      </c>
      <c r="F73" s="25">
        <v>42.569600000000001</v>
      </c>
      <c r="G73" s="25">
        <v>43.7226</v>
      </c>
      <c r="H73" s="25">
        <v>9873.51</v>
      </c>
      <c r="I73" s="25">
        <v>13.29</v>
      </c>
      <c r="J73" s="26">
        <f t="shared" si="0"/>
        <v>2.7426416666666666</v>
      </c>
      <c r="L73" s="24">
        <v>418.8784</v>
      </c>
      <c r="M73" s="25">
        <v>37.596600000000002</v>
      </c>
      <c r="N73" s="25">
        <v>42.569600000000001</v>
      </c>
      <c r="O73" s="25">
        <v>43.7226</v>
      </c>
      <c r="P73" s="25">
        <v>9808.3700000000008</v>
      </c>
      <c r="Q73" s="25">
        <v>13.29</v>
      </c>
      <c r="R73" s="26">
        <f t="shared" si="1"/>
        <v>2.7245472222222222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218.97919999999999</v>
      </c>
      <c r="E74" s="34">
        <v>34.6233</v>
      </c>
      <c r="F74" s="34">
        <v>41.287700000000001</v>
      </c>
      <c r="G74" s="34">
        <v>42.387</v>
      </c>
      <c r="H74" s="34">
        <v>9355.94</v>
      </c>
      <c r="I74" s="34">
        <v>12.29</v>
      </c>
      <c r="J74" s="35">
        <f t="shared" si="0"/>
        <v>2.5988722222222225</v>
      </c>
      <c r="L74" s="33">
        <v>218.97919999999999</v>
      </c>
      <c r="M74" s="34">
        <v>34.6233</v>
      </c>
      <c r="N74" s="34">
        <v>41.287700000000001</v>
      </c>
      <c r="O74" s="34">
        <v>42.387</v>
      </c>
      <c r="P74" s="34">
        <v>9343.15</v>
      </c>
      <c r="Q74" s="34">
        <v>12.64</v>
      </c>
      <c r="R74" s="35">
        <f t="shared" si="1"/>
        <v>2.5953194444444443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1443.924</v>
      </c>
      <c r="E75" s="15">
        <v>43.1372</v>
      </c>
      <c r="F75" s="15">
        <v>48.167200000000001</v>
      </c>
      <c r="G75" s="15">
        <v>48.875</v>
      </c>
      <c r="H75" s="15">
        <v>11429</v>
      </c>
      <c r="I75" s="15">
        <v>16.61</v>
      </c>
      <c r="J75" s="16">
        <f t="shared" si="0"/>
        <v>3.174722222222222</v>
      </c>
      <c r="L75" s="14">
        <v>1443.924</v>
      </c>
      <c r="M75" s="15">
        <v>43.1372</v>
      </c>
      <c r="N75" s="15">
        <v>48.167200000000001</v>
      </c>
      <c r="O75" s="15">
        <v>48.875</v>
      </c>
      <c r="P75" s="15">
        <v>11388.32</v>
      </c>
      <c r="Q75" s="15">
        <v>16.52</v>
      </c>
      <c r="R75" s="16">
        <f t="shared" si="1"/>
        <v>3.1634222222222221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403.37279999999998</v>
      </c>
      <c r="E76" s="25">
        <v>41.267499999999998</v>
      </c>
      <c r="F76" s="25">
        <v>46.353499999999997</v>
      </c>
      <c r="G76" s="25">
        <v>46.9861</v>
      </c>
      <c r="H76" s="25">
        <v>9916.94</v>
      </c>
      <c r="I76" s="25">
        <v>13.85</v>
      </c>
      <c r="J76" s="26">
        <f t="shared" si="0"/>
        <v>2.7547055555555557</v>
      </c>
      <c r="L76" s="24">
        <v>403.37279999999998</v>
      </c>
      <c r="M76" s="25">
        <v>41.267499999999998</v>
      </c>
      <c r="N76" s="25">
        <v>46.353499999999997</v>
      </c>
      <c r="O76" s="25">
        <v>46.9861</v>
      </c>
      <c r="P76" s="25">
        <v>9919.1200000000008</v>
      </c>
      <c r="Q76" s="25">
        <v>13.8</v>
      </c>
      <c r="R76" s="26">
        <f t="shared" si="1"/>
        <v>2.7553111111111113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180.46879999999999</v>
      </c>
      <c r="E77" s="25">
        <v>39.043300000000002</v>
      </c>
      <c r="F77" s="25">
        <v>44.697099999999999</v>
      </c>
      <c r="G77" s="25">
        <v>45.167000000000002</v>
      </c>
      <c r="H77" s="25">
        <v>9333.73</v>
      </c>
      <c r="I77" s="25">
        <v>12.7</v>
      </c>
      <c r="J77" s="26">
        <f t="shared" si="0"/>
        <v>2.5927027777777778</v>
      </c>
      <c r="L77" s="24">
        <v>180.46879999999999</v>
      </c>
      <c r="M77" s="25">
        <v>39.043300000000002</v>
      </c>
      <c r="N77" s="25">
        <v>44.697099999999999</v>
      </c>
      <c r="O77" s="25">
        <v>45.167000000000002</v>
      </c>
      <c r="P77" s="25">
        <v>9405.31</v>
      </c>
      <c r="Q77" s="25">
        <v>12.69</v>
      </c>
      <c r="R77" s="26">
        <f t="shared" si="1"/>
        <v>2.6125861111111108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94.688800000000001</v>
      </c>
      <c r="E78" s="34">
        <v>36.488399999999999</v>
      </c>
      <c r="F78" s="34">
        <v>43.308900000000001</v>
      </c>
      <c r="G78" s="34">
        <v>43.783999999999999</v>
      </c>
      <c r="H78" s="34">
        <v>8984.6</v>
      </c>
      <c r="I78" s="34">
        <v>11.93</v>
      </c>
      <c r="J78" s="35">
        <f t="shared" si="0"/>
        <v>2.4957222222222222</v>
      </c>
      <c r="L78" s="33">
        <v>94.688800000000001</v>
      </c>
      <c r="M78" s="34">
        <v>36.488399999999999</v>
      </c>
      <c r="N78" s="34">
        <v>43.308900000000001</v>
      </c>
      <c r="O78" s="34">
        <v>43.783999999999999</v>
      </c>
      <c r="P78" s="34">
        <v>9034.9599999999991</v>
      </c>
      <c r="Q78" s="34">
        <v>11.91</v>
      </c>
      <c r="R78" s="35">
        <f t="shared" si="1"/>
        <v>2.5097111111111108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1898.8232</v>
      </c>
      <c r="E79" s="15">
        <v>43.417200000000001</v>
      </c>
      <c r="F79" s="15">
        <v>47.333599999999997</v>
      </c>
      <c r="G79" s="15">
        <v>48.305</v>
      </c>
      <c r="H79" s="15">
        <v>12642.71</v>
      </c>
      <c r="I79" s="15">
        <v>18.55</v>
      </c>
      <c r="J79" s="16">
        <f t="shared" si="0"/>
        <v>3.5118638888888887</v>
      </c>
      <c r="L79" s="14">
        <v>1898.8232</v>
      </c>
      <c r="M79" s="15">
        <v>43.417200000000001</v>
      </c>
      <c r="N79" s="15">
        <v>47.333599999999997</v>
      </c>
      <c r="O79" s="15">
        <v>48.305</v>
      </c>
      <c r="P79" s="15">
        <v>12642.06</v>
      </c>
      <c r="Q79" s="15">
        <v>18.21</v>
      </c>
      <c r="R79" s="16">
        <f t="shared" si="1"/>
        <v>3.511683333333333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680.28480000000002</v>
      </c>
      <c r="E80" s="25">
        <v>41.1877</v>
      </c>
      <c r="F80" s="25">
        <v>45.334899999999998</v>
      </c>
      <c r="G80" s="25">
        <v>46.235399999999998</v>
      </c>
      <c r="H80" s="25">
        <v>11081.76</v>
      </c>
      <c r="I80" s="25">
        <v>15.76</v>
      </c>
      <c r="J80" s="26">
        <f t="shared" si="0"/>
        <v>3.0782666666666669</v>
      </c>
      <c r="L80" s="24">
        <v>680.28480000000002</v>
      </c>
      <c r="M80" s="25">
        <v>41.1877</v>
      </c>
      <c r="N80" s="25">
        <v>45.334899999999998</v>
      </c>
      <c r="O80" s="25">
        <v>46.235399999999998</v>
      </c>
      <c r="P80" s="25">
        <v>11002.88</v>
      </c>
      <c r="Q80" s="25">
        <v>15.62</v>
      </c>
      <c r="R80" s="26">
        <f t="shared" si="1"/>
        <v>3.0563555555555553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311.34719999999999</v>
      </c>
      <c r="E81" s="25">
        <v>38.695799999999998</v>
      </c>
      <c r="F81" s="25">
        <v>43.534100000000002</v>
      </c>
      <c r="G81" s="25">
        <v>44.4343</v>
      </c>
      <c r="H81" s="25">
        <v>10166.81</v>
      </c>
      <c r="I81" s="25">
        <v>14.18</v>
      </c>
      <c r="J81" s="26">
        <f t="shared" si="0"/>
        <v>2.8241138888888888</v>
      </c>
      <c r="L81" s="24">
        <v>311.34719999999999</v>
      </c>
      <c r="M81" s="25">
        <v>38.695799999999998</v>
      </c>
      <c r="N81" s="25">
        <v>43.534100000000002</v>
      </c>
      <c r="O81" s="25">
        <v>44.4343</v>
      </c>
      <c r="P81" s="25">
        <v>10181.17</v>
      </c>
      <c r="Q81" s="25">
        <v>14.03</v>
      </c>
      <c r="R81" s="26">
        <f t="shared" si="1"/>
        <v>2.8281027777777776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159.5504</v>
      </c>
      <c r="E82" s="34">
        <v>35.919499999999999</v>
      </c>
      <c r="F82" s="34">
        <v>42.159399999999998</v>
      </c>
      <c r="G82" s="34">
        <v>43.183300000000003</v>
      </c>
      <c r="H82" s="34">
        <v>9687.9500000000007</v>
      </c>
      <c r="I82" s="34">
        <v>13.03</v>
      </c>
      <c r="J82" s="35">
        <f t="shared" si="0"/>
        <v>2.6910972222222225</v>
      </c>
      <c r="L82" s="33">
        <v>159.5504</v>
      </c>
      <c r="M82" s="34">
        <v>35.919499999999999</v>
      </c>
      <c r="N82" s="34">
        <v>42.159399999999998</v>
      </c>
      <c r="O82" s="34">
        <v>43.183300000000003</v>
      </c>
      <c r="P82" s="34">
        <v>9653.39</v>
      </c>
      <c r="Q82" s="34">
        <v>13.04</v>
      </c>
      <c r="R82" s="35">
        <f t="shared" si="1"/>
        <v>2.6814972222222222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3839.7712000000001</v>
      </c>
      <c r="E83" s="15">
        <v>40.461100000000002</v>
      </c>
      <c r="F83" s="15">
        <v>42.562100000000001</v>
      </c>
      <c r="G83" s="15">
        <v>43.097499999999997</v>
      </c>
      <c r="H83" s="15">
        <v>7687.48</v>
      </c>
      <c r="I83" s="15">
        <v>11.55</v>
      </c>
      <c r="J83" s="16">
        <f t="shared" ref="J83:J98" si="2">secToHours(H83)</f>
        <v>2.1354111111111109</v>
      </c>
      <c r="L83" s="14">
        <v>3839.7712000000001</v>
      </c>
      <c r="M83" s="15">
        <v>40.461100000000002</v>
      </c>
      <c r="N83" s="15">
        <v>42.562100000000001</v>
      </c>
      <c r="O83" s="15">
        <v>43.097499999999997</v>
      </c>
      <c r="P83" s="15">
        <v>7654.6</v>
      </c>
      <c r="Q83" s="15">
        <v>11.54</v>
      </c>
      <c r="R83" s="16">
        <f t="shared" ref="R83:R98" si="3">secToHours(P83)</f>
        <v>2.1262777777777777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1817.5832</v>
      </c>
      <c r="E84" s="25">
        <v>37.044199999999996</v>
      </c>
      <c r="F84" s="25">
        <v>39.538200000000003</v>
      </c>
      <c r="G84" s="25">
        <v>39.909199999999998</v>
      </c>
      <c r="H84" s="25">
        <v>6415.67</v>
      </c>
      <c r="I84" s="25">
        <v>9.26</v>
      </c>
      <c r="J84" s="26">
        <f t="shared" si="2"/>
        <v>1.7821305555555556</v>
      </c>
      <c r="L84" s="24">
        <v>1817.5832</v>
      </c>
      <c r="M84" s="25">
        <v>37.044199999999996</v>
      </c>
      <c r="N84" s="25">
        <v>39.538200000000003</v>
      </c>
      <c r="O84" s="25">
        <v>39.909199999999998</v>
      </c>
      <c r="P84" s="25">
        <v>6429.66</v>
      </c>
      <c r="Q84" s="25">
        <v>9.3800000000000008</v>
      </c>
      <c r="R84" s="26">
        <f t="shared" si="3"/>
        <v>1.7860166666666666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880.01440000000002</v>
      </c>
      <c r="E85" s="25">
        <v>33.953699999999998</v>
      </c>
      <c r="F85" s="25">
        <v>37.127000000000002</v>
      </c>
      <c r="G85" s="25">
        <v>37.393000000000001</v>
      </c>
      <c r="H85" s="25">
        <v>5440.56</v>
      </c>
      <c r="I85" s="25">
        <v>7.71</v>
      </c>
      <c r="J85" s="26">
        <f t="shared" si="2"/>
        <v>1.5112666666666668</v>
      </c>
      <c r="L85" s="24">
        <v>880.01440000000002</v>
      </c>
      <c r="M85" s="25">
        <v>33.953699999999998</v>
      </c>
      <c r="N85" s="25">
        <v>37.127000000000002</v>
      </c>
      <c r="O85" s="25">
        <v>37.393000000000001</v>
      </c>
      <c r="P85" s="25">
        <v>5420.45</v>
      </c>
      <c r="Q85" s="25">
        <v>7.68</v>
      </c>
      <c r="R85" s="26">
        <f t="shared" si="3"/>
        <v>1.5056805555555555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452.77600000000001</v>
      </c>
      <c r="E86" s="34">
        <v>31.130099999999999</v>
      </c>
      <c r="F86" s="34">
        <v>35.509399999999999</v>
      </c>
      <c r="G86" s="34">
        <v>35.534199999999998</v>
      </c>
      <c r="H86" s="34">
        <v>4767.3999999999996</v>
      </c>
      <c r="I86" s="34">
        <v>6.45</v>
      </c>
      <c r="J86" s="35">
        <f t="shared" si="2"/>
        <v>1.3242777777777777</v>
      </c>
      <c r="L86" s="33">
        <v>452.77600000000001</v>
      </c>
      <c r="M86" s="34">
        <v>31.130099999999999</v>
      </c>
      <c r="N86" s="34">
        <v>35.509399999999999</v>
      </c>
      <c r="O86" s="34">
        <v>35.534199999999998</v>
      </c>
      <c r="P86" s="34">
        <v>4757.71</v>
      </c>
      <c r="Q86" s="34">
        <v>6.45</v>
      </c>
      <c r="R86" s="35">
        <f t="shared" si="3"/>
        <v>1.3215861111111111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5325.0806000000002</v>
      </c>
      <c r="E87" s="15">
        <v>43.098399999999998</v>
      </c>
      <c r="F87" s="15">
        <v>45.663400000000003</v>
      </c>
      <c r="G87" s="15">
        <v>45.93</v>
      </c>
      <c r="H87" s="15">
        <v>16855.37</v>
      </c>
      <c r="I87" s="15">
        <v>22.3</v>
      </c>
      <c r="J87" s="16">
        <f t="shared" si="2"/>
        <v>4.6820472222222218</v>
      </c>
      <c r="L87" s="14">
        <v>5325.0806000000002</v>
      </c>
      <c r="M87" s="15">
        <v>43.098399999999998</v>
      </c>
      <c r="N87" s="15">
        <v>45.663400000000003</v>
      </c>
      <c r="O87" s="15">
        <v>45.93</v>
      </c>
      <c r="P87" s="15">
        <v>16938.169999999998</v>
      </c>
      <c r="Q87" s="15">
        <v>22.22</v>
      </c>
      <c r="R87" s="16">
        <f t="shared" si="3"/>
        <v>4.7050472222222215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2573.5493000000001</v>
      </c>
      <c r="E88" s="25">
        <v>38.959299999999999</v>
      </c>
      <c r="F88" s="25">
        <v>42.6036</v>
      </c>
      <c r="G88" s="25">
        <v>42.647199999999998</v>
      </c>
      <c r="H88" s="25">
        <v>14104.53</v>
      </c>
      <c r="I88" s="25">
        <v>18.28</v>
      </c>
      <c r="J88" s="26">
        <f t="shared" si="2"/>
        <v>3.9179250000000003</v>
      </c>
      <c r="L88" s="24">
        <v>2573.5493000000001</v>
      </c>
      <c r="M88" s="25">
        <v>38.959299999999999</v>
      </c>
      <c r="N88" s="25">
        <v>42.6036</v>
      </c>
      <c r="O88" s="25">
        <v>42.647199999999998</v>
      </c>
      <c r="P88" s="25">
        <v>14088.2</v>
      </c>
      <c r="Q88" s="25">
        <v>18.02</v>
      </c>
      <c r="R88" s="26">
        <f t="shared" si="3"/>
        <v>3.913388888888889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1255.1850999999999</v>
      </c>
      <c r="E89" s="25">
        <v>35.241100000000003</v>
      </c>
      <c r="F89" s="25">
        <v>40.208100000000002</v>
      </c>
      <c r="G89" s="25">
        <v>40.0212</v>
      </c>
      <c r="H89" s="25">
        <v>11749.14</v>
      </c>
      <c r="I89" s="25">
        <v>15.11</v>
      </c>
      <c r="J89" s="26">
        <f t="shared" si="2"/>
        <v>3.2636499999999997</v>
      </c>
      <c r="L89" s="24">
        <v>1255.1850999999999</v>
      </c>
      <c r="M89" s="25">
        <v>35.241100000000003</v>
      </c>
      <c r="N89" s="25">
        <v>40.208100000000002</v>
      </c>
      <c r="O89" s="25">
        <v>40.0212</v>
      </c>
      <c r="P89" s="25">
        <v>11662.18</v>
      </c>
      <c r="Q89" s="25">
        <v>15.39</v>
      </c>
      <c r="R89" s="26">
        <f t="shared" si="3"/>
        <v>3.2394944444444445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611.12540000000001</v>
      </c>
      <c r="E90" s="34">
        <v>31.9251</v>
      </c>
      <c r="F90" s="34">
        <v>38.658999999999999</v>
      </c>
      <c r="G90" s="34">
        <v>38.3658</v>
      </c>
      <c r="H90" s="34">
        <v>9937.51</v>
      </c>
      <c r="I90" s="34">
        <v>13.11</v>
      </c>
      <c r="J90" s="35">
        <f t="shared" si="2"/>
        <v>2.7604194444444445</v>
      </c>
      <c r="L90" s="33">
        <v>611.12540000000001</v>
      </c>
      <c r="M90" s="34">
        <v>31.9251</v>
      </c>
      <c r="N90" s="34">
        <v>38.658999999999999</v>
      </c>
      <c r="O90" s="34">
        <v>38.3658</v>
      </c>
      <c r="P90" s="34">
        <v>9916.2999999999993</v>
      </c>
      <c r="Q90" s="34">
        <v>12.8</v>
      </c>
      <c r="R90" s="35">
        <f t="shared" si="3"/>
        <v>2.7545277777777777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323.12400000000002</v>
      </c>
      <c r="E91" s="15">
        <v>46.834400000000002</v>
      </c>
      <c r="F91" s="15">
        <v>45.309800000000003</v>
      </c>
      <c r="G91" s="15">
        <v>45.266500000000001</v>
      </c>
      <c r="H91" s="15">
        <v>4642.8900000000003</v>
      </c>
      <c r="I91" s="15">
        <v>5.89</v>
      </c>
      <c r="J91" s="16">
        <f t="shared" si="2"/>
        <v>1.2896916666666667</v>
      </c>
      <c r="L91" s="14">
        <v>323.12400000000002</v>
      </c>
      <c r="M91" s="15">
        <v>46.834400000000002</v>
      </c>
      <c r="N91" s="15">
        <v>45.309800000000003</v>
      </c>
      <c r="O91" s="15">
        <v>45.266500000000001</v>
      </c>
      <c r="P91" s="15">
        <v>4590.75</v>
      </c>
      <c r="Q91" s="15">
        <v>5.87</v>
      </c>
      <c r="R91" s="16">
        <f t="shared" si="3"/>
        <v>1.2752083333333333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237.1816</v>
      </c>
      <c r="E92" s="25">
        <v>42.427100000000003</v>
      </c>
      <c r="F92" s="25">
        <v>41.069400000000002</v>
      </c>
      <c r="G92" s="25">
        <v>41.086399999999998</v>
      </c>
      <c r="H92" s="25">
        <v>4515.8599999999997</v>
      </c>
      <c r="I92" s="25">
        <v>5.89</v>
      </c>
      <c r="J92" s="26">
        <f t="shared" si="2"/>
        <v>1.2544055555555556</v>
      </c>
      <c r="L92" s="24">
        <v>237.1816</v>
      </c>
      <c r="M92" s="25">
        <v>42.427100000000003</v>
      </c>
      <c r="N92" s="25">
        <v>41.069400000000002</v>
      </c>
      <c r="O92" s="25">
        <v>41.086399999999998</v>
      </c>
      <c r="P92" s="25">
        <v>4537.95</v>
      </c>
      <c r="Q92" s="25">
        <v>5.87</v>
      </c>
      <c r="R92" s="26">
        <f t="shared" si="3"/>
        <v>1.2605416666666667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176.4616</v>
      </c>
      <c r="E93" s="25">
        <v>37.713200000000001</v>
      </c>
      <c r="F93" s="25">
        <v>38.783499999999997</v>
      </c>
      <c r="G93" s="25">
        <v>38.753700000000002</v>
      </c>
      <c r="H93" s="25">
        <v>4433.07</v>
      </c>
      <c r="I93" s="25">
        <v>5.64</v>
      </c>
      <c r="J93" s="26">
        <f t="shared" si="2"/>
        <v>1.2314083333333332</v>
      </c>
      <c r="L93" s="24">
        <v>176.4616</v>
      </c>
      <c r="M93" s="25">
        <v>37.713200000000001</v>
      </c>
      <c r="N93" s="25">
        <v>38.783499999999997</v>
      </c>
      <c r="O93" s="25">
        <v>38.753700000000002</v>
      </c>
      <c r="P93" s="25">
        <v>4441.4799999999996</v>
      </c>
      <c r="Q93" s="25">
        <v>5.69</v>
      </c>
      <c r="R93" s="26">
        <f t="shared" si="3"/>
        <v>1.2337444444444443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128.6576</v>
      </c>
      <c r="E94" s="34">
        <v>32.769100000000002</v>
      </c>
      <c r="F94" s="34">
        <v>37.623199999999997</v>
      </c>
      <c r="G94" s="34">
        <v>37.205399999999997</v>
      </c>
      <c r="H94" s="34">
        <v>4381.68</v>
      </c>
      <c r="I94" s="34">
        <v>5.74</v>
      </c>
      <c r="J94" s="35">
        <f t="shared" si="2"/>
        <v>1.2171333333333334</v>
      </c>
      <c r="L94" s="33">
        <v>128.6576</v>
      </c>
      <c r="M94" s="34">
        <v>32.769100000000002</v>
      </c>
      <c r="N94" s="34">
        <v>37.623199999999997</v>
      </c>
      <c r="O94" s="34">
        <v>37.205399999999997</v>
      </c>
      <c r="P94" s="34">
        <v>4418.3999999999996</v>
      </c>
      <c r="Q94" s="34">
        <v>5.62</v>
      </c>
      <c r="R94" s="35">
        <f t="shared" si="3"/>
        <v>1.2273333333333332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676.98879999999997</v>
      </c>
      <c r="E95" s="15">
        <v>48.958500000000001</v>
      </c>
      <c r="F95" s="15">
        <v>51.679600000000001</v>
      </c>
      <c r="G95" s="15">
        <v>52.6907</v>
      </c>
      <c r="H95" s="15">
        <v>9759.02</v>
      </c>
      <c r="I95" s="15">
        <v>12.36</v>
      </c>
      <c r="J95" s="16">
        <f t="shared" si="2"/>
        <v>2.710838888888889</v>
      </c>
      <c r="L95" s="14">
        <v>676.98879999999997</v>
      </c>
      <c r="M95" s="15">
        <v>48.958500000000001</v>
      </c>
      <c r="N95" s="15">
        <v>51.679600000000001</v>
      </c>
      <c r="O95" s="15">
        <v>52.6907</v>
      </c>
      <c r="P95" s="15">
        <v>9750.49</v>
      </c>
      <c r="Q95" s="15">
        <v>12.13</v>
      </c>
      <c r="R95" s="16">
        <f t="shared" si="3"/>
        <v>2.7084694444444444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399.65949999999998</v>
      </c>
      <c r="E96" s="25">
        <v>44.987200000000001</v>
      </c>
      <c r="F96" s="25">
        <v>47.995600000000003</v>
      </c>
      <c r="G96" s="25">
        <v>49.177500000000002</v>
      </c>
      <c r="H96" s="25">
        <v>9290.02</v>
      </c>
      <c r="I96" s="25">
        <v>11.71</v>
      </c>
      <c r="J96" s="26">
        <f t="shared" si="2"/>
        <v>2.5805611111111113</v>
      </c>
      <c r="L96" s="24">
        <v>399.65949999999998</v>
      </c>
      <c r="M96" s="25">
        <v>44.987200000000001</v>
      </c>
      <c r="N96" s="25">
        <v>47.995600000000003</v>
      </c>
      <c r="O96" s="25">
        <v>49.177500000000002</v>
      </c>
      <c r="P96" s="25">
        <v>9336.2000000000007</v>
      </c>
      <c r="Q96" s="25">
        <v>11.52</v>
      </c>
      <c r="R96" s="26">
        <f t="shared" si="3"/>
        <v>2.5933888888888892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239.4461</v>
      </c>
      <c r="E97" s="25">
        <v>41.0505</v>
      </c>
      <c r="F97" s="25">
        <v>44.999299999999998</v>
      </c>
      <c r="G97" s="25">
        <v>46.502000000000002</v>
      </c>
      <c r="H97" s="25">
        <v>8935.43</v>
      </c>
      <c r="I97" s="25">
        <v>11.03</v>
      </c>
      <c r="J97" s="26">
        <f t="shared" si="2"/>
        <v>2.4820638888888888</v>
      </c>
      <c r="L97" s="24">
        <v>239.4461</v>
      </c>
      <c r="M97" s="25">
        <v>41.0505</v>
      </c>
      <c r="N97" s="25">
        <v>44.999299999999998</v>
      </c>
      <c r="O97" s="25">
        <v>46.502000000000002</v>
      </c>
      <c r="P97" s="25">
        <v>8955.0400000000009</v>
      </c>
      <c r="Q97" s="25">
        <v>11.05</v>
      </c>
      <c r="R97" s="26">
        <f t="shared" si="3"/>
        <v>2.4875111111111115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149.50659999999999</v>
      </c>
      <c r="E98" s="34">
        <v>37.070099999999996</v>
      </c>
      <c r="F98" s="34">
        <v>43.305</v>
      </c>
      <c r="G98" s="34">
        <v>44.934100000000001</v>
      </c>
      <c r="H98" s="34">
        <v>8629.82</v>
      </c>
      <c r="I98" s="34">
        <v>10.63</v>
      </c>
      <c r="J98" s="35">
        <f t="shared" si="2"/>
        <v>2.3971722222222223</v>
      </c>
      <c r="L98" s="33">
        <v>149.50659999999999</v>
      </c>
      <c r="M98" s="34">
        <v>37.070099999999996</v>
      </c>
      <c r="N98" s="34">
        <v>43.305</v>
      </c>
      <c r="O98" s="34">
        <v>44.934100000000001</v>
      </c>
      <c r="P98" s="34">
        <v>8579.2099999999991</v>
      </c>
      <c r="Q98" s="34">
        <v>10.79</v>
      </c>
      <c r="R98" s="35">
        <f t="shared" si="3"/>
        <v>2.3831138888888885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10.311364747621534</v>
      </c>
      <c r="J107" s="92">
        <f>GEOMEAN(J3:J98)</f>
        <v>1.9830404676829196</v>
      </c>
      <c r="Q107" s="95">
        <f>GEOMEAN(Q3:Q98)</f>
        <v>10.293481743242639</v>
      </c>
      <c r="R107" s="92">
        <f>GEOMEAN(R3:R98)</f>
        <v>1.9803423684496311</v>
      </c>
    </row>
    <row r="108" spans="1:25" ht="12.75" thickBot="1" x14ac:dyDescent="0.25">
      <c r="B108" s="23" t="s">
        <v>30</v>
      </c>
      <c r="I108" s="96">
        <f>SUM(I3:I98)/3600</f>
        <v>0.34670000000000001</v>
      </c>
      <c r="J108" s="94">
        <f>SUM(J3:J98)</f>
        <v>242.52906666666669</v>
      </c>
      <c r="Q108" s="96">
        <f>SUM(Q3:Q98)/3600</f>
        <v>0.34500833333333319</v>
      </c>
      <c r="R108" s="94">
        <f>SUM(R3:R98)</f>
        <v>242.31238333333332</v>
      </c>
    </row>
    <row r="109" spans="1:25" ht="12.75" thickBot="1" x14ac:dyDescent="0.25">
      <c r="B109" s="32" t="s">
        <v>98</v>
      </c>
      <c r="T109" s="97">
        <f>Q107/I107</f>
        <v>0.99826569956387001</v>
      </c>
      <c r="U109" s="98">
        <f>R107/J107</f>
        <v>0.99863941292310532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10.423260906639046</v>
      </c>
      <c r="J113" s="92">
        <f t="shared" ref="J113:R113" si="11">GEOMEAN(J3:J10, J19:J82)</f>
        <v>1.9584655698675937</v>
      </c>
      <c r="Q113" s="95">
        <f t="shared" si="11"/>
        <v>10.40926534751285</v>
      </c>
      <c r="R113" s="92">
        <f t="shared" si="11"/>
        <v>1.9554239565901534</v>
      </c>
    </row>
    <row r="114" spans="2:21" ht="12.75" thickBot="1" x14ac:dyDescent="0.25">
      <c r="B114" s="23" t="s">
        <v>30</v>
      </c>
      <c r="I114" s="96">
        <f>SUM(I3:I10, I19:I82)/3600</f>
        <v>0.29873888888888889</v>
      </c>
      <c r="J114" s="94">
        <f>SUM(J3:J10, J19:J82)</f>
        <v>205.98866388888891</v>
      </c>
      <c r="Q114" s="96">
        <f t="shared" ref="Q114" si="12">SUM(Q3:Q10, Q19:Q82)/3600</f>
        <v>0.29722499999999985</v>
      </c>
      <c r="R114" s="94">
        <f>SUM(R3:R10, R19:R82)</f>
        <v>205.79105277777782</v>
      </c>
    </row>
    <row r="115" spans="2:21" ht="12.75" thickBot="1" x14ac:dyDescent="0.25">
      <c r="B115" s="32" t="s">
        <v>98</v>
      </c>
      <c r="T115" s="97">
        <f>Q113/I113</f>
        <v>0.99865727633112578</v>
      </c>
      <c r="U115" s="98">
        <f>R113/J113</f>
        <v>0.99844694064361528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17" priority="7" operator="greaterThan">
      <formula>0.03</formula>
    </cfRule>
    <cfRule type="cellIs" dxfId="16" priority="8" stopIfTrue="1" operator="lessThan">
      <formula>-0.03</formula>
    </cfRule>
  </conditionalFormatting>
  <conditionalFormatting sqref="T112:Y112">
    <cfRule type="cellIs" dxfId="15" priority="5" operator="greaterThan">
      <formula>0.03</formula>
    </cfRule>
    <cfRule type="cellIs" dxfId="14" priority="6" stopIfTrue="1" operator="lessThan">
      <formula>-0.03</formula>
    </cfRule>
  </conditionalFormatting>
  <conditionalFormatting sqref="T112:Y112">
    <cfRule type="cellIs" dxfId="13" priority="1" operator="greaterThan">
      <formula>0.03</formula>
    </cfRule>
    <cfRule type="cellIs" dxfId="12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Y116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0.875" defaultRowHeight="12" x14ac:dyDescent="0.2"/>
  <cols>
    <col min="1" max="1" width="8.625" style="1" bestFit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2.875" style="1" customWidth="1"/>
    <col min="20" max="25" width="8.875" style="1" customWidth="1"/>
    <col min="26" max="16384" width="10.875" style="1"/>
  </cols>
  <sheetData>
    <row r="1" spans="1:25" ht="12.75" thickBot="1" x14ac:dyDescent="0.25">
      <c r="D1" s="148" t="str">
        <f>'Summary (A-E)'!$K$2</f>
        <v>HEVC HM15.0_RExt7.3</v>
      </c>
      <c r="E1" s="149"/>
      <c r="F1" s="149"/>
      <c r="G1" s="149"/>
      <c r="H1" s="149"/>
      <c r="I1" s="149"/>
      <c r="J1" s="150"/>
      <c r="L1" s="148" t="str">
        <f>'Summary (A-E)'!$K$3</f>
        <v>HEVC HM16.0</v>
      </c>
      <c r="M1" s="149"/>
      <c r="N1" s="149"/>
      <c r="O1" s="149"/>
      <c r="P1" s="149"/>
      <c r="Q1" s="149"/>
      <c r="R1" s="150"/>
      <c r="S1" s="2"/>
      <c r="T1" s="148" t="s">
        <v>44</v>
      </c>
      <c r="U1" s="149"/>
      <c r="V1" s="150"/>
      <c r="W1" s="148" t="s">
        <v>45</v>
      </c>
      <c r="X1" s="149"/>
      <c r="Y1" s="150"/>
    </row>
    <row r="2" spans="1:25" ht="12.75" thickBot="1" x14ac:dyDescent="0.25">
      <c r="A2" s="3"/>
      <c r="B2" s="4"/>
      <c r="C2" s="5" t="s">
        <v>1</v>
      </c>
      <c r="D2" s="70" t="s">
        <v>31</v>
      </c>
      <c r="E2" s="7" t="s">
        <v>32</v>
      </c>
      <c r="F2" s="7" t="s">
        <v>33</v>
      </c>
      <c r="G2" s="7" t="s">
        <v>34</v>
      </c>
      <c r="H2" s="7" t="s">
        <v>35</v>
      </c>
      <c r="I2" s="7" t="s">
        <v>36</v>
      </c>
      <c r="J2" s="71" t="s">
        <v>37</v>
      </c>
      <c r="K2" s="2"/>
      <c r="L2" s="70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1" t="s">
        <v>37</v>
      </c>
      <c r="S2" s="9"/>
      <c r="T2" s="70" t="s">
        <v>38</v>
      </c>
      <c r="U2" s="7" t="s">
        <v>39</v>
      </c>
      <c r="V2" s="71" t="s">
        <v>40</v>
      </c>
      <c r="W2" s="10" t="s">
        <v>38</v>
      </c>
      <c r="X2" s="11" t="s">
        <v>39</v>
      </c>
      <c r="Y2" s="12" t="s">
        <v>40</v>
      </c>
    </row>
    <row r="3" spans="1:25" x14ac:dyDescent="0.2">
      <c r="A3" s="66" t="s">
        <v>2</v>
      </c>
      <c r="B3" s="66" t="s">
        <v>3</v>
      </c>
      <c r="C3" s="66">
        <v>22</v>
      </c>
      <c r="D3" s="72"/>
      <c r="E3" s="73"/>
      <c r="F3" s="73"/>
      <c r="G3" s="73"/>
      <c r="H3" s="73"/>
      <c r="I3" s="73"/>
      <c r="J3" s="74"/>
      <c r="K3" s="101"/>
      <c r="L3" s="72"/>
      <c r="M3" s="73"/>
      <c r="N3" s="73"/>
      <c r="O3" s="73"/>
      <c r="P3" s="73"/>
      <c r="Q3" s="73"/>
      <c r="R3" s="74"/>
      <c r="S3" s="102"/>
      <c r="T3" s="81"/>
      <c r="U3" s="82"/>
      <c r="V3" s="107"/>
      <c r="W3" s="81"/>
      <c r="X3" s="82"/>
      <c r="Y3" s="107"/>
    </row>
    <row r="4" spans="1:25" x14ac:dyDescent="0.2">
      <c r="A4" s="67" t="s">
        <v>4</v>
      </c>
      <c r="B4" s="67"/>
      <c r="C4" s="67">
        <v>27</v>
      </c>
      <c r="D4" s="75"/>
      <c r="E4" s="76"/>
      <c r="F4" s="76"/>
      <c r="G4" s="76"/>
      <c r="H4" s="76"/>
      <c r="I4" s="76"/>
      <c r="J4" s="77"/>
      <c r="K4" s="101"/>
      <c r="L4" s="75"/>
      <c r="M4" s="76"/>
      <c r="N4" s="76"/>
      <c r="O4" s="76"/>
      <c r="P4" s="76"/>
      <c r="Q4" s="76"/>
      <c r="R4" s="77"/>
      <c r="S4" s="102"/>
      <c r="T4" s="86"/>
      <c r="U4" s="87"/>
      <c r="V4" s="88"/>
      <c r="W4" s="86"/>
      <c r="X4" s="87"/>
      <c r="Y4" s="88"/>
    </row>
    <row r="5" spans="1:25" x14ac:dyDescent="0.2">
      <c r="A5" s="67"/>
      <c r="B5" s="67"/>
      <c r="C5" s="67">
        <v>32</v>
      </c>
      <c r="D5" s="75"/>
      <c r="E5" s="76"/>
      <c r="F5" s="76"/>
      <c r="G5" s="76"/>
      <c r="H5" s="76"/>
      <c r="I5" s="76"/>
      <c r="J5" s="77"/>
      <c r="K5" s="101"/>
      <c r="L5" s="75"/>
      <c r="M5" s="76"/>
      <c r="N5" s="76"/>
      <c r="O5" s="76"/>
      <c r="P5" s="76"/>
      <c r="Q5" s="76"/>
      <c r="R5" s="77"/>
      <c r="S5" s="102"/>
      <c r="T5" s="86"/>
      <c r="U5" s="87"/>
      <c r="V5" s="88"/>
      <c r="W5" s="86"/>
      <c r="X5" s="87"/>
      <c r="Y5" s="88"/>
    </row>
    <row r="6" spans="1:25" ht="12.75" thickBot="1" x14ac:dyDescent="0.25">
      <c r="A6" s="67"/>
      <c r="B6" s="68"/>
      <c r="C6" s="68">
        <v>37</v>
      </c>
      <c r="D6" s="78"/>
      <c r="E6" s="79"/>
      <c r="F6" s="79"/>
      <c r="G6" s="79"/>
      <c r="H6" s="79"/>
      <c r="I6" s="79"/>
      <c r="J6" s="80"/>
      <c r="K6" s="101"/>
      <c r="L6" s="78"/>
      <c r="M6" s="79"/>
      <c r="N6" s="79"/>
      <c r="O6" s="79"/>
      <c r="P6" s="79"/>
      <c r="Q6" s="79"/>
      <c r="R6" s="80"/>
      <c r="S6" s="102"/>
      <c r="T6" s="89"/>
      <c r="U6" s="90"/>
      <c r="V6" s="91"/>
      <c r="W6" s="89"/>
      <c r="X6" s="90"/>
      <c r="Y6" s="91"/>
    </row>
    <row r="7" spans="1:25" x14ac:dyDescent="0.2">
      <c r="A7" s="67"/>
      <c r="B7" s="66" t="s">
        <v>5</v>
      </c>
      <c r="C7" s="66">
        <v>22</v>
      </c>
      <c r="D7" s="72"/>
      <c r="E7" s="73"/>
      <c r="F7" s="73"/>
      <c r="G7" s="73"/>
      <c r="H7" s="73"/>
      <c r="I7" s="73"/>
      <c r="J7" s="74"/>
      <c r="K7" s="101"/>
      <c r="L7" s="72"/>
      <c r="M7" s="73"/>
      <c r="N7" s="73"/>
      <c r="O7" s="73"/>
      <c r="P7" s="73"/>
      <c r="Q7" s="73"/>
      <c r="R7" s="74"/>
      <c r="S7" s="102"/>
      <c r="T7" s="81"/>
      <c r="U7" s="82"/>
      <c r="V7" s="82"/>
      <c r="W7" s="83"/>
      <c r="X7" s="84"/>
      <c r="Y7" s="85"/>
    </row>
    <row r="8" spans="1:25" x14ac:dyDescent="0.2">
      <c r="A8" s="67"/>
      <c r="B8" s="67"/>
      <c r="C8" s="67">
        <v>27</v>
      </c>
      <c r="D8" s="75"/>
      <c r="E8" s="76"/>
      <c r="F8" s="76"/>
      <c r="G8" s="76"/>
      <c r="H8" s="76"/>
      <c r="I8" s="76"/>
      <c r="J8" s="77"/>
      <c r="K8" s="101"/>
      <c r="L8" s="75"/>
      <c r="M8" s="76"/>
      <c r="N8" s="76"/>
      <c r="O8" s="76"/>
      <c r="P8" s="76"/>
      <c r="Q8" s="76"/>
      <c r="R8" s="77"/>
      <c r="S8" s="102"/>
      <c r="T8" s="86"/>
      <c r="U8" s="87"/>
      <c r="V8" s="87"/>
      <c r="W8" s="86"/>
      <c r="X8" s="87"/>
      <c r="Y8" s="88"/>
    </row>
    <row r="9" spans="1:25" x14ac:dyDescent="0.2">
      <c r="A9" s="67"/>
      <c r="B9" s="67"/>
      <c r="C9" s="67">
        <v>32</v>
      </c>
      <c r="D9" s="75"/>
      <c r="E9" s="76"/>
      <c r="F9" s="76"/>
      <c r="G9" s="76"/>
      <c r="H9" s="76"/>
      <c r="I9" s="76"/>
      <c r="J9" s="77"/>
      <c r="K9" s="101"/>
      <c r="L9" s="75"/>
      <c r="M9" s="76"/>
      <c r="N9" s="76"/>
      <c r="O9" s="76"/>
      <c r="P9" s="76"/>
      <c r="Q9" s="76"/>
      <c r="R9" s="77"/>
      <c r="S9" s="102"/>
      <c r="T9" s="86"/>
      <c r="U9" s="108"/>
      <c r="V9" s="87"/>
      <c r="W9" s="86"/>
      <c r="X9" s="87"/>
      <c r="Y9" s="88"/>
    </row>
    <row r="10" spans="1:25" ht="12.75" thickBot="1" x14ac:dyDescent="0.25">
      <c r="A10" s="67"/>
      <c r="B10" s="68"/>
      <c r="C10" s="68">
        <v>37</v>
      </c>
      <c r="D10" s="78"/>
      <c r="E10" s="79"/>
      <c r="F10" s="79"/>
      <c r="G10" s="79"/>
      <c r="H10" s="79"/>
      <c r="I10" s="79"/>
      <c r="J10" s="80"/>
      <c r="K10" s="101"/>
      <c r="L10" s="78"/>
      <c r="M10" s="79"/>
      <c r="N10" s="79"/>
      <c r="O10" s="79"/>
      <c r="P10" s="79"/>
      <c r="Q10" s="79"/>
      <c r="R10" s="80"/>
      <c r="S10" s="102"/>
      <c r="T10" s="89"/>
      <c r="U10" s="90"/>
      <c r="V10" s="90"/>
      <c r="W10" s="89"/>
      <c r="X10" s="90"/>
      <c r="Y10" s="91"/>
    </row>
    <row r="11" spans="1:25" x14ac:dyDescent="0.2">
      <c r="A11" s="67"/>
      <c r="B11" s="66" t="s">
        <v>0</v>
      </c>
      <c r="C11" s="66">
        <v>22</v>
      </c>
      <c r="D11" s="72"/>
      <c r="E11" s="73"/>
      <c r="F11" s="73"/>
      <c r="G11" s="73"/>
      <c r="H11" s="73"/>
      <c r="I11" s="73"/>
      <c r="J11" s="74"/>
      <c r="K11" s="101"/>
      <c r="L11" s="72"/>
      <c r="M11" s="73"/>
      <c r="N11" s="73"/>
      <c r="O11" s="73"/>
      <c r="P11" s="73"/>
      <c r="Q11" s="73"/>
      <c r="R11" s="74"/>
      <c r="S11" s="102"/>
      <c r="T11" s="81"/>
      <c r="U11" s="82"/>
      <c r="V11" s="82"/>
      <c r="W11" s="83"/>
      <c r="X11" s="84"/>
      <c r="Y11" s="85"/>
    </row>
    <row r="12" spans="1:25" x14ac:dyDescent="0.2">
      <c r="A12" s="67"/>
      <c r="B12" s="67"/>
      <c r="C12" s="67">
        <v>27</v>
      </c>
      <c r="D12" s="75"/>
      <c r="E12" s="76"/>
      <c r="F12" s="76"/>
      <c r="G12" s="76"/>
      <c r="H12" s="76"/>
      <c r="I12" s="76"/>
      <c r="J12" s="77"/>
      <c r="K12" s="101"/>
      <c r="L12" s="75"/>
      <c r="M12" s="76"/>
      <c r="N12" s="76"/>
      <c r="O12" s="76"/>
      <c r="P12" s="76"/>
      <c r="Q12" s="76"/>
      <c r="R12" s="77"/>
      <c r="S12" s="102"/>
      <c r="T12" s="86"/>
      <c r="U12" s="87"/>
      <c r="V12" s="87"/>
      <c r="W12" s="86"/>
      <c r="X12" s="87"/>
      <c r="Y12" s="88"/>
    </row>
    <row r="13" spans="1:25" x14ac:dyDescent="0.2">
      <c r="A13" s="67"/>
      <c r="B13" s="67"/>
      <c r="C13" s="67">
        <v>32</v>
      </c>
      <c r="D13" s="75"/>
      <c r="E13" s="76"/>
      <c r="F13" s="76"/>
      <c r="G13" s="76"/>
      <c r="H13" s="76"/>
      <c r="I13" s="76"/>
      <c r="J13" s="77"/>
      <c r="K13" s="101"/>
      <c r="L13" s="75"/>
      <c r="M13" s="76"/>
      <c r="N13" s="76"/>
      <c r="O13" s="76"/>
      <c r="P13" s="76"/>
      <c r="Q13" s="76"/>
      <c r="R13" s="77"/>
      <c r="S13" s="102"/>
      <c r="T13" s="86"/>
      <c r="U13" s="108"/>
      <c r="V13" s="87"/>
      <c r="W13" s="86"/>
      <c r="X13" s="87"/>
      <c r="Y13" s="88"/>
    </row>
    <row r="14" spans="1:25" ht="12.75" thickBot="1" x14ac:dyDescent="0.25">
      <c r="A14" s="67"/>
      <c r="B14" s="68"/>
      <c r="C14" s="68">
        <v>37</v>
      </c>
      <c r="D14" s="78"/>
      <c r="E14" s="79"/>
      <c r="F14" s="79"/>
      <c r="G14" s="79"/>
      <c r="H14" s="79"/>
      <c r="I14" s="79"/>
      <c r="J14" s="80"/>
      <c r="K14" s="101"/>
      <c r="L14" s="78"/>
      <c r="M14" s="79"/>
      <c r="N14" s="79"/>
      <c r="O14" s="79"/>
      <c r="P14" s="79"/>
      <c r="Q14" s="79"/>
      <c r="R14" s="80"/>
      <c r="S14" s="102"/>
      <c r="T14" s="89"/>
      <c r="U14" s="90"/>
      <c r="V14" s="90"/>
      <c r="W14" s="89"/>
      <c r="X14" s="90"/>
      <c r="Y14" s="91"/>
    </row>
    <row r="15" spans="1:25" x14ac:dyDescent="0.2">
      <c r="A15" s="67"/>
      <c r="B15" s="66" t="s">
        <v>6</v>
      </c>
      <c r="C15" s="66">
        <v>22</v>
      </c>
      <c r="D15" s="72"/>
      <c r="E15" s="73"/>
      <c r="F15" s="73"/>
      <c r="G15" s="73"/>
      <c r="H15" s="73"/>
      <c r="I15" s="73"/>
      <c r="J15" s="74"/>
      <c r="K15" s="101"/>
      <c r="L15" s="72"/>
      <c r="M15" s="73"/>
      <c r="N15" s="73"/>
      <c r="O15" s="73"/>
      <c r="P15" s="73"/>
      <c r="Q15" s="73"/>
      <c r="R15" s="74"/>
      <c r="S15" s="102"/>
      <c r="T15" s="81"/>
      <c r="U15" s="82"/>
      <c r="V15" s="82"/>
      <c r="W15" s="83"/>
      <c r="X15" s="84"/>
      <c r="Y15" s="85"/>
    </row>
    <row r="16" spans="1:25" x14ac:dyDescent="0.2">
      <c r="A16" s="67"/>
      <c r="B16" s="67"/>
      <c r="C16" s="67">
        <v>27</v>
      </c>
      <c r="D16" s="75"/>
      <c r="E16" s="76"/>
      <c r="F16" s="76"/>
      <c r="G16" s="76"/>
      <c r="H16" s="76"/>
      <c r="I16" s="76"/>
      <c r="J16" s="77"/>
      <c r="K16" s="101"/>
      <c r="L16" s="75"/>
      <c r="M16" s="76"/>
      <c r="N16" s="76"/>
      <c r="O16" s="76"/>
      <c r="P16" s="76"/>
      <c r="Q16" s="76"/>
      <c r="R16" s="77"/>
      <c r="S16" s="102"/>
      <c r="T16" s="86"/>
      <c r="U16" s="87"/>
      <c r="V16" s="87"/>
      <c r="W16" s="86"/>
      <c r="X16" s="87"/>
      <c r="Y16" s="88"/>
    </row>
    <row r="17" spans="1:25" x14ac:dyDescent="0.2">
      <c r="A17" s="67"/>
      <c r="B17" s="67"/>
      <c r="C17" s="67">
        <v>32</v>
      </c>
      <c r="D17" s="75"/>
      <c r="E17" s="76"/>
      <c r="F17" s="76"/>
      <c r="G17" s="76"/>
      <c r="H17" s="76"/>
      <c r="I17" s="76"/>
      <c r="J17" s="77"/>
      <c r="K17" s="101"/>
      <c r="L17" s="75"/>
      <c r="M17" s="76"/>
      <c r="N17" s="76"/>
      <c r="O17" s="76"/>
      <c r="P17" s="76"/>
      <c r="Q17" s="76"/>
      <c r="R17" s="77"/>
      <c r="S17" s="102"/>
      <c r="T17" s="86"/>
      <c r="U17" s="108"/>
      <c r="V17" s="87"/>
      <c r="W17" s="86"/>
      <c r="X17" s="87"/>
      <c r="Y17" s="88"/>
    </row>
    <row r="18" spans="1:25" ht="12.75" thickBot="1" x14ac:dyDescent="0.25">
      <c r="A18" s="68"/>
      <c r="B18" s="68"/>
      <c r="C18" s="68">
        <v>37</v>
      </c>
      <c r="D18" s="78"/>
      <c r="E18" s="79"/>
      <c r="F18" s="79"/>
      <c r="G18" s="79"/>
      <c r="H18" s="79"/>
      <c r="I18" s="79"/>
      <c r="J18" s="80"/>
      <c r="K18" s="101"/>
      <c r="L18" s="78"/>
      <c r="M18" s="79"/>
      <c r="N18" s="79"/>
      <c r="O18" s="79"/>
      <c r="P18" s="79"/>
      <c r="Q18" s="79"/>
      <c r="R18" s="80"/>
      <c r="S18" s="102"/>
      <c r="T18" s="89"/>
      <c r="U18" s="90"/>
      <c r="V18" s="90"/>
      <c r="W18" s="89"/>
      <c r="X18" s="90"/>
      <c r="Y18" s="91"/>
    </row>
    <row r="19" spans="1:25" x14ac:dyDescent="0.2">
      <c r="A19" s="13" t="s">
        <v>7</v>
      </c>
      <c r="B19" s="13" t="s">
        <v>8</v>
      </c>
      <c r="C19" s="13">
        <v>22</v>
      </c>
      <c r="D19" s="14">
        <v>5321.7744000000002</v>
      </c>
      <c r="E19" s="15">
        <v>41.712699999999998</v>
      </c>
      <c r="F19" s="15">
        <v>43.328299999999999</v>
      </c>
      <c r="G19" s="15">
        <v>44.9221</v>
      </c>
      <c r="H19" s="15">
        <v>15018.85</v>
      </c>
      <c r="I19" s="15">
        <v>22.92</v>
      </c>
      <c r="J19" s="16">
        <f t="shared" ref="J19:J82" si="0">secToHours(H19)</f>
        <v>4.1719027777777775</v>
      </c>
      <c r="L19" s="14">
        <v>5321.7744000000002</v>
      </c>
      <c r="M19" s="15">
        <v>41.712699999999998</v>
      </c>
      <c r="N19" s="15">
        <v>43.328299999999999</v>
      </c>
      <c r="O19" s="15">
        <v>44.9221</v>
      </c>
      <c r="P19" s="15">
        <v>14999.41</v>
      </c>
      <c r="Q19" s="15">
        <v>22.8</v>
      </c>
      <c r="R19" s="16">
        <f t="shared" ref="R19:R82" si="1">secToHours(P19)</f>
        <v>4.1665027777777777</v>
      </c>
      <c r="S19" s="19"/>
      <c r="T19" s="20">
        <f>[1]!bdrate($D19:$D22,E19:E22,$L19:$L22,M19:M22)</f>
        <v>0</v>
      </c>
      <c r="U19" s="21">
        <f>[1]!bdrate($D19:$D22,F19:F22,$L19:$L22,N19:N22)</f>
        <v>0</v>
      </c>
      <c r="V19" s="21">
        <f>[1]!bdrate($D19:$D22,G19:G22,$L19:$L22,O19:O22)</f>
        <v>0</v>
      </c>
      <c r="W19" s="41">
        <f>[1]!bdrateOld($D19:$D22,E19:E22,$L19:$L22,M19:M22)</f>
        <v>0</v>
      </c>
      <c r="X19" s="42">
        <f>[1]!bdrateOld($D19:$D22,F19:F22,$L19:$L22,N19:N22)</f>
        <v>0</v>
      </c>
      <c r="Y19" s="43">
        <f>[1]!bdrateOld($D19:$D22,G19:G22,$L19:$L22,O19:O22)</f>
        <v>0</v>
      </c>
    </row>
    <row r="20" spans="1:25" x14ac:dyDescent="0.2">
      <c r="A20" s="23" t="s">
        <v>9</v>
      </c>
      <c r="B20" s="23"/>
      <c r="C20" s="23">
        <v>27</v>
      </c>
      <c r="D20" s="24">
        <v>2464.5016000000001</v>
      </c>
      <c r="E20" s="25">
        <v>39.627400000000002</v>
      </c>
      <c r="F20" s="25">
        <v>41.617899999999999</v>
      </c>
      <c r="G20" s="25">
        <v>42.859000000000002</v>
      </c>
      <c r="H20" s="25">
        <v>12232.65</v>
      </c>
      <c r="I20" s="25">
        <v>18.55</v>
      </c>
      <c r="J20" s="26">
        <f t="shared" si="0"/>
        <v>3.3979583333333334</v>
      </c>
      <c r="L20" s="24">
        <v>2464.5016000000001</v>
      </c>
      <c r="M20" s="25">
        <v>39.627400000000002</v>
      </c>
      <c r="N20" s="25">
        <v>41.617899999999999</v>
      </c>
      <c r="O20" s="25">
        <v>42.859000000000002</v>
      </c>
      <c r="P20" s="25">
        <v>12163.89</v>
      </c>
      <c r="Q20" s="25">
        <v>18.510000000000002</v>
      </c>
      <c r="R20" s="26">
        <f t="shared" si="1"/>
        <v>3.3788583333333331</v>
      </c>
      <c r="S20" s="19"/>
      <c r="T20" s="29"/>
      <c r="U20" s="30"/>
      <c r="V20" s="30"/>
      <c r="W20" s="29"/>
      <c r="X20" s="30"/>
      <c r="Y20" s="31"/>
    </row>
    <row r="21" spans="1:25" x14ac:dyDescent="0.2">
      <c r="A21" s="23"/>
      <c r="B21" s="23"/>
      <c r="C21" s="23">
        <v>32</v>
      </c>
      <c r="D21" s="24">
        <v>1192.3887999999999</v>
      </c>
      <c r="E21" s="25">
        <v>37.051600000000001</v>
      </c>
      <c r="F21" s="25">
        <v>40.318399999999997</v>
      </c>
      <c r="G21" s="25">
        <v>41.569899999999997</v>
      </c>
      <c r="H21" s="25">
        <v>10315.56</v>
      </c>
      <c r="I21" s="25">
        <v>16.18</v>
      </c>
      <c r="J21" s="26">
        <f t="shared" si="0"/>
        <v>2.8654333333333333</v>
      </c>
      <c r="L21" s="24">
        <v>1192.3887999999999</v>
      </c>
      <c r="M21" s="25">
        <v>37.051600000000001</v>
      </c>
      <c r="N21" s="25">
        <v>40.318399999999997</v>
      </c>
      <c r="O21" s="25">
        <v>41.569899999999997</v>
      </c>
      <c r="P21" s="25">
        <v>10236.77</v>
      </c>
      <c r="Q21" s="25">
        <v>15.81</v>
      </c>
      <c r="R21" s="26">
        <f t="shared" si="1"/>
        <v>2.8435472222222224</v>
      </c>
      <c r="S21" s="19"/>
      <c r="T21" s="29"/>
      <c r="U21" s="30"/>
      <c r="V21" s="30"/>
      <c r="W21" s="29"/>
      <c r="X21" s="30"/>
      <c r="Y21" s="31"/>
    </row>
    <row r="22" spans="1:25" ht="12.75" thickBot="1" x14ac:dyDescent="0.25">
      <c r="A22" s="23"/>
      <c r="B22" s="32"/>
      <c r="C22" s="32">
        <v>37</v>
      </c>
      <c r="D22" s="33">
        <v>587.53679999999997</v>
      </c>
      <c r="E22" s="34">
        <v>34.426699999999997</v>
      </c>
      <c r="F22" s="34">
        <v>39.452800000000003</v>
      </c>
      <c r="G22" s="34">
        <v>40.7911</v>
      </c>
      <c r="H22" s="34">
        <v>8877.27</v>
      </c>
      <c r="I22" s="34">
        <v>14.08</v>
      </c>
      <c r="J22" s="35">
        <f t="shared" si="0"/>
        <v>2.4659083333333336</v>
      </c>
      <c r="L22" s="33">
        <v>587.53679999999997</v>
      </c>
      <c r="M22" s="34">
        <v>34.426699999999997</v>
      </c>
      <c r="N22" s="34">
        <v>39.452800000000003</v>
      </c>
      <c r="O22" s="34">
        <v>40.7911</v>
      </c>
      <c r="P22" s="34">
        <v>8794.92</v>
      </c>
      <c r="Q22" s="34">
        <v>14.21</v>
      </c>
      <c r="R22" s="35">
        <f t="shared" si="1"/>
        <v>2.4430333333333332</v>
      </c>
      <c r="S22" s="19"/>
      <c r="T22" s="38"/>
      <c r="U22" s="39"/>
      <c r="V22" s="39"/>
      <c r="W22" s="38"/>
      <c r="X22" s="39"/>
      <c r="Y22" s="40"/>
    </row>
    <row r="23" spans="1:25" x14ac:dyDescent="0.2">
      <c r="A23" s="23"/>
      <c r="B23" s="13" t="s">
        <v>10</v>
      </c>
      <c r="C23" s="13">
        <v>22</v>
      </c>
      <c r="D23" s="14">
        <v>8287.9071999999996</v>
      </c>
      <c r="E23" s="15">
        <v>39.905900000000003</v>
      </c>
      <c r="F23" s="15">
        <v>41.987200000000001</v>
      </c>
      <c r="G23" s="15">
        <v>43.198</v>
      </c>
      <c r="H23" s="15">
        <v>13420.2</v>
      </c>
      <c r="I23" s="15">
        <v>26.06</v>
      </c>
      <c r="J23" s="16">
        <f t="shared" si="0"/>
        <v>3.7278333333333333</v>
      </c>
      <c r="L23" s="14">
        <v>8287.9071999999996</v>
      </c>
      <c r="M23" s="15">
        <v>39.905900000000003</v>
      </c>
      <c r="N23" s="15">
        <v>41.987200000000001</v>
      </c>
      <c r="O23" s="15">
        <v>43.198</v>
      </c>
      <c r="P23" s="15">
        <v>13416.83</v>
      </c>
      <c r="Q23" s="15">
        <v>26.03</v>
      </c>
      <c r="R23" s="16">
        <f t="shared" si="1"/>
        <v>3.7268972222222221</v>
      </c>
      <c r="S23" s="19"/>
      <c r="T23" s="20">
        <f>[1]!bdrate($D23:$D26,E23:E26,$L23:$L26,M23:M26)</f>
        <v>0</v>
      </c>
      <c r="U23" s="21">
        <f>[1]!bdrate($D23:$D26,F23:F26,$L23:$L26,N23:N26)</f>
        <v>0</v>
      </c>
      <c r="V23" s="21">
        <f>[1]!bdrate($D23:$D26,G23:G26,$L23:$L26,O23:O26)</f>
        <v>0</v>
      </c>
      <c r="W23" s="41">
        <f>[1]!bdrateOld($D23:$D26,E23:E26,$L23:$L26,M23:M26)</f>
        <v>0</v>
      </c>
      <c r="X23" s="42">
        <f>[1]!bdrateOld($D23:$D26,F23:F26,$L23:$L26,N23:N26)</f>
        <v>0</v>
      </c>
      <c r="Y23" s="43">
        <f>[1]!bdrateOld($D23:$D26,G23:G26,$L23:$L26,O23:O26)</f>
        <v>0</v>
      </c>
    </row>
    <row r="24" spans="1:25" x14ac:dyDescent="0.2">
      <c r="A24" s="23"/>
      <c r="B24" s="23"/>
      <c r="C24" s="23">
        <v>27</v>
      </c>
      <c r="D24" s="24">
        <v>3243.6776</v>
      </c>
      <c r="E24" s="25">
        <v>36.987400000000001</v>
      </c>
      <c r="F24" s="25">
        <v>39.814100000000003</v>
      </c>
      <c r="G24" s="25">
        <v>40.845500000000001</v>
      </c>
      <c r="H24" s="25">
        <v>10174.68</v>
      </c>
      <c r="I24" s="25">
        <v>19.04</v>
      </c>
      <c r="J24" s="26">
        <f t="shared" si="0"/>
        <v>2.8263000000000003</v>
      </c>
      <c r="L24" s="24">
        <v>3243.6776</v>
      </c>
      <c r="M24" s="25">
        <v>36.987400000000001</v>
      </c>
      <c r="N24" s="25">
        <v>39.814100000000003</v>
      </c>
      <c r="O24" s="25">
        <v>40.845500000000001</v>
      </c>
      <c r="P24" s="25">
        <v>10134.93</v>
      </c>
      <c r="Q24" s="25">
        <v>19.18</v>
      </c>
      <c r="R24" s="26">
        <f t="shared" si="1"/>
        <v>2.8152583333333334</v>
      </c>
      <c r="S24" s="19"/>
      <c r="T24" s="29"/>
      <c r="U24" s="30"/>
      <c r="V24" s="30"/>
      <c r="W24" s="29"/>
      <c r="X24" s="30"/>
      <c r="Y24" s="31"/>
    </row>
    <row r="25" spans="1:25" x14ac:dyDescent="0.2">
      <c r="A25" s="23"/>
      <c r="B25" s="23"/>
      <c r="C25" s="23">
        <v>32</v>
      </c>
      <c r="D25" s="24">
        <v>1362.9695999999999</v>
      </c>
      <c r="E25" s="25">
        <v>34.183100000000003</v>
      </c>
      <c r="F25" s="25">
        <v>38.142899999999997</v>
      </c>
      <c r="G25" s="25">
        <v>39.431600000000003</v>
      </c>
      <c r="H25" s="25">
        <v>8401.39</v>
      </c>
      <c r="I25" s="25">
        <v>15.81</v>
      </c>
      <c r="J25" s="26">
        <f t="shared" si="0"/>
        <v>2.3337194444444442</v>
      </c>
      <c r="L25" s="24">
        <v>1362.9695999999999</v>
      </c>
      <c r="M25" s="25">
        <v>34.183100000000003</v>
      </c>
      <c r="N25" s="25">
        <v>38.142899999999997</v>
      </c>
      <c r="O25" s="25">
        <v>39.431600000000003</v>
      </c>
      <c r="P25" s="25">
        <v>8380.75</v>
      </c>
      <c r="Q25" s="25">
        <v>15.59</v>
      </c>
      <c r="R25" s="26">
        <f t="shared" si="1"/>
        <v>2.3279861111111111</v>
      </c>
      <c r="S25" s="19"/>
      <c r="T25" s="29"/>
      <c r="U25" s="30"/>
      <c r="V25" s="30"/>
      <c r="W25" s="29"/>
      <c r="X25" s="30"/>
      <c r="Y25" s="31"/>
    </row>
    <row r="26" spans="1:25" ht="12.75" thickBot="1" x14ac:dyDescent="0.25">
      <c r="A26" s="23"/>
      <c r="B26" s="32"/>
      <c r="C26" s="32">
        <v>37</v>
      </c>
      <c r="D26" s="33">
        <v>591.92880000000002</v>
      </c>
      <c r="E26" s="34">
        <v>31.5915</v>
      </c>
      <c r="F26" s="34">
        <v>37.056800000000003</v>
      </c>
      <c r="G26" s="34">
        <v>38.670299999999997</v>
      </c>
      <c r="H26" s="34">
        <v>7358.38</v>
      </c>
      <c r="I26" s="34">
        <v>13.77</v>
      </c>
      <c r="J26" s="35">
        <f t="shared" si="0"/>
        <v>2.0439944444444444</v>
      </c>
      <c r="L26" s="33">
        <v>591.92880000000002</v>
      </c>
      <c r="M26" s="34">
        <v>31.5915</v>
      </c>
      <c r="N26" s="34">
        <v>37.056800000000003</v>
      </c>
      <c r="O26" s="34">
        <v>38.670299999999997</v>
      </c>
      <c r="P26" s="34">
        <v>7315.11</v>
      </c>
      <c r="Q26" s="34">
        <v>13.74</v>
      </c>
      <c r="R26" s="35">
        <f t="shared" si="1"/>
        <v>2.0319750000000001</v>
      </c>
      <c r="S26" s="19"/>
      <c r="T26" s="38"/>
      <c r="U26" s="39"/>
      <c r="V26" s="39"/>
      <c r="W26" s="38"/>
      <c r="X26" s="39"/>
      <c r="Y26" s="40"/>
    </row>
    <row r="27" spans="1:25" x14ac:dyDescent="0.2">
      <c r="A27" s="23"/>
      <c r="B27" s="13" t="s">
        <v>11</v>
      </c>
      <c r="C27" s="13">
        <v>22</v>
      </c>
      <c r="D27" s="14">
        <v>22728.655200000001</v>
      </c>
      <c r="E27" s="15">
        <v>38.6218</v>
      </c>
      <c r="F27" s="15">
        <v>40.053199999999997</v>
      </c>
      <c r="G27" s="15">
        <v>43.429699999999997</v>
      </c>
      <c r="H27" s="15">
        <v>30386.66</v>
      </c>
      <c r="I27" s="15">
        <v>56.36</v>
      </c>
      <c r="J27" s="16">
        <f t="shared" si="0"/>
        <v>8.4407388888888892</v>
      </c>
      <c r="L27" s="14">
        <v>22728.655200000001</v>
      </c>
      <c r="M27" s="15">
        <v>38.6218</v>
      </c>
      <c r="N27" s="15">
        <v>40.053199999999997</v>
      </c>
      <c r="O27" s="15">
        <v>43.429699999999997</v>
      </c>
      <c r="P27" s="15">
        <v>30394.43</v>
      </c>
      <c r="Q27" s="15">
        <v>55.68</v>
      </c>
      <c r="R27" s="16">
        <f t="shared" si="1"/>
        <v>8.4428972222222232</v>
      </c>
      <c r="S27" s="19"/>
      <c r="T27" s="20">
        <f>[1]!bdrate($D27:$D30,E27:E30,$L27:$L30,M27:M30)</f>
        <v>0</v>
      </c>
      <c r="U27" s="21">
        <f>[1]!bdrate($D27:$D30,F27:F30,$L27:$L30,N27:N30)</f>
        <v>0</v>
      </c>
      <c r="V27" s="21">
        <f>[1]!bdrate($D27:$D30,G27:G30,$L27:$L30,O27:O30)</f>
        <v>0</v>
      </c>
      <c r="W27" s="41">
        <f>[1]!bdrateOld($D27:$D30,E27:E30,$L27:$L30,M27:M30)</f>
        <v>0</v>
      </c>
      <c r="X27" s="42">
        <f>[1]!bdrateOld($D27:$D30,F27:F30,$L27:$L30,N27:N30)</f>
        <v>0</v>
      </c>
      <c r="Y27" s="43">
        <f>[1]!bdrateOld($D27:$D30,G27:G30,$L27:$L30,O27:O30)</f>
        <v>0</v>
      </c>
    </row>
    <row r="28" spans="1:25" x14ac:dyDescent="0.2">
      <c r="A28" s="23"/>
      <c r="B28" s="23"/>
      <c r="C28" s="23">
        <v>27</v>
      </c>
      <c r="D28" s="24">
        <v>5985.1527999999998</v>
      </c>
      <c r="E28" s="25">
        <v>36.656599999999997</v>
      </c>
      <c r="F28" s="25">
        <v>38.875900000000001</v>
      </c>
      <c r="G28" s="25">
        <v>41.400500000000001</v>
      </c>
      <c r="H28" s="25">
        <v>21796.23</v>
      </c>
      <c r="I28" s="25">
        <v>36.94</v>
      </c>
      <c r="J28" s="26">
        <f t="shared" si="0"/>
        <v>6.0545083333333336</v>
      </c>
      <c r="L28" s="24">
        <v>5985.1527999999998</v>
      </c>
      <c r="M28" s="25">
        <v>36.656599999999997</v>
      </c>
      <c r="N28" s="25">
        <v>38.875900000000001</v>
      </c>
      <c r="O28" s="25">
        <v>41.400500000000001</v>
      </c>
      <c r="P28" s="25">
        <v>21782.2</v>
      </c>
      <c r="Q28" s="25">
        <v>37.43</v>
      </c>
      <c r="R28" s="26">
        <f t="shared" si="1"/>
        <v>6.0506111111111114</v>
      </c>
      <c r="S28" s="19"/>
      <c r="T28" s="29"/>
      <c r="U28" s="30"/>
      <c r="V28" s="30"/>
      <c r="W28" s="29"/>
      <c r="X28" s="30"/>
      <c r="Y28" s="31"/>
    </row>
    <row r="29" spans="1:25" x14ac:dyDescent="0.2">
      <c r="A29" s="23"/>
      <c r="B29" s="23"/>
      <c r="C29" s="23">
        <v>32</v>
      </c>
      <c r="D29" s="24">
        <v>2647.6215999999999</v>
      </c>
      <c r="E29" s="25">
        <v>34.505299999999998</v>
      </c>
      <c r="F29" s="25">
        <v>37.892099999999999</v>
      </c>
      <c r="G29" s="25">
        <v>39.703699999999998</v>
      </c>
      <c r="H29" s="25">
        <v>18133.34</v>
      </c>
      <c r="I29" s="25">
        <v>31.48</v>
      </c>
      <c r="J29" s="26">
        <f t="shared" si="0"/>
        <v>5.0370388888888886</v>
      </c>
      <c r="L29" s="24">
        <v>2647.6215999999999</v>
      </c>
      <c r="M29" s="25">
        <v>34.505299999999998</v>
      </c>
      <c r="N29" s="25">
        <v>37.892099999999999</v>
      </c>
      <c r="O29" s="25">
        <v>39.703699999999998</v>
      </c>
      <c r="P29" s="25">
        <v>18052.099999999999</v>
      </c>
      <c r="Q29" s="25">
        <v>30.81</v>
      </c>
      <c r="R29" s="26">
        <f t="shared" si="1"/>
        <v>5.0144722222222216</v>
      </c>
      <c r="S29" s="19"/>
      <c r="T29" s="29"/>
      <c r="U29" s="30"/>
      <c r="V29" s="30"/>
      <c r="W29" s="29"/>
      <c r="X29" s="30"/>
      <c r="Y29" s="31"/>
    </row>
    <row r="30" spans="1:25" ht="12.75" thickBot="1" x14ac:dyDescent="0.25">
      <c r="A30" s="23"/>
      <c r="B30" s="32"/>
      <c r="C30" s="32">
        <v>37</v>
      </c>
      <c r="D30" s="33">
        <v>1302.3696</v>
      </c>
      <c r="E30" s="34">
        <v>32.179000000000002</v>
      </c>
      <c r="F30" s="34">
        <v>37.142299999999999</v>
      </c>
      <c r="G30" s="34">
        <v>38.470799999999997</v>
      </c>
      <c r="H30" s="34">
        <v>15855.8</v>
      </c>
      <c r="I30" s="34">
        <v>28.08</v>
      </c>
      <c r="J30" s="35">
        <f t="shared" si="0"/>
        <v>4.4043888888888887</v>
      </c>
      <c r="L30" s="33">
        <v>1302.3696</v>
      </c>
      <c r="M30" s="34">
        <v>32.179000000000002</v>
      </c>
      <c r="N30" s="34">
        <v>37.142299999999999</v>
      </c>
      <c r="O30" s="34">
        <v>38.470799999999997</v>
      </c>
      <c r="P30" s="34">
        <v>15850.83</v>
      </c>
      <c r="Q30" s="34">
        <v>27.87</v>
      </c>
      <c r="R30" s="35">
        <f t="shared" si="1"/>
        <v>4.4030083333333332</v>
      </c>
      <c r="S30" s="19"/>
      <c r="T30" s="38"/>
      <c r="U30" s="39"/>
      <c r="V30" s="39"/>
      <c r="W30" s="38"/>
      <c r="X30" s="39"/>
      <c r="Y30" s="40"/>
    </row>
    <row r="31" spans="1:25" x14ac:dyDescent="0.2">
      <c r="A31" s="23"/>
      <c r="B31" s="13" t="s">
        <v>12</v>
      </c>
      <c r="C31" s="13">
        <v>22</v>
      </c>
      <c r="D31" s="14">
        <v>21073.826400000002</v>
      </c>
      <c r="E31" s="15">
        <v>39.405000000000001</v>
      </c>
      <c r="F31" s="15">
        <v>43.709899999999998</v>
      </c>
      <c r="G31" s="15">
        <v>44.936300000000003</v>
      </c>
      <c r="H31" s="15">
        <v>37545</v>
      </c>
      <c r="I31" s="15">
        <v>58.48</v>
      </c>
      <c r="J31" s="16">
        <f t="shared" si="0"/>
        <v>10.429166666666667</v>
      </c>
      <c r="L31" s="14">
        <v>21073.826400000002</v>
      </c>
      <c r="M31" s="15">
        <v>39.405000000000001</v>
      </c>
      <c r="N31" s="15">
        <v>43.709899999999998</v>
      </c>
      <c r="O31" s="15">
        <v>44.936300000000003</v>
      </c>
      <c r="P31" s="15">
        <v>37065.53</v>
      </c>
      <c r="Q31" s="15">
        <v>57.53</v>
      </c>
      <c r="R31" s="16">
        <f t="shared" si="1"/>
        <v>10.295980555555555</v>
      </c>
      <c r="S31" s="19"/>
      <c r="T31" s="20">
        <f>[1]!bdrate($D31:$D34,E31:E34,$L31:$L34,M31:M34)</f>
        <v>0</v>
      </c>
      <c r="U31" s="21">
        <f>[1]!bdrate($D31:$D34,F31:F34,$L31:$L34,N31:N34)</f>
        <v>0</v>
      </c>
      <c r="V31" s="21">
        <f>[1]!bdrate($D31:$D34,G31:G34,$L31:$L34,O31:O34)</f>
        <v>0</v>
      </c>
      <c r="W31" s="41">
        <f>[1]!bdrateOld($D31:$D34,E31:E34,$L31:$L34,M31:M34)</f>
        <v>0</v>
      </c>
      <c r="X31" s="42">
        <f>[1]!bdrateOld($D31:$D34,F31:F34,$L31:$L34,N31:N34)</f>
        <v>0</v>
      </c>
      <c r="Y31" s="43">
        <f>[1]!bdrateOld($D31:$D34,G31:G34,$L31:$L34,O31:O34)</f>
        <v>0</v>
      </c>
    </row>
    <row r="32" spans="1:25" x14ac:dyDescent="0.2">
      <c r="A32" s="23"/>
      <c r="B32" s="23"/>
      <c r="C32" s="23">
        <v>27</v>
      </c>
      <c r="D32" s="24">
        <v>7099.5032000000001</v>
      </c>
      <c r="E32" s="25">
        <v>37.429200000000002</v>
      </c>
      <c r="F32" s="25">
        <v>42.171199999999999</v>
      </c>
      <c r="G32" s="25">
        <v>42.5931</v>
      </c>
      <c r="H32" s="25">
        <v>28317.18</v>
      </c>
      <c r="I32" s="25">
        <v>43.54</v>
      </c>
      <c r="J32" s="26">
        <f t="shared" si="0"/>
        <v>7.8658833333333336</v>
      </c>
      <c r="L32" s="24">
        <v>7099.5032000000001</v>
      </c>
      <c r="M32" s="25">
        <v>37.429200000000002</v>
      </c>
      <c r="N32" s="25">
        <v>42.171199999999999</v>
      </c>
      <c r="O32" s="25">
        <v>42.5931</v>
      </c>
      <c r="P32" s="25">
        <v>28255.040000000001</v>
      </c>
      <c r="Q32" s="25">
        <v>43.2</v>
      </c>
      <c r="R32" s="26">
        <f t="shared" si="1"/>
        <v>7.8486222222222226</v>
      </c>
      <c r="S32" s="19"/>
      <c r="T32" s="29"/>
      <c r="U32" s="30"/>
      <c r="V32" s="30"/>
      <c r="W32" s="29"/>
      <c r="X32" s="30"/>
      <c r="Y32" s="31"/>
    </row>
    <row r="33" spans="1:25" x14ac:dyDescent="0.2">
      <c r="A33" s="23"/>
      <c r="B33" s="23"/>
      <c r="C33" s="23">
        <v>32</v>
      </c>
      <c r="D33" s="24">
        <v>3261.9567999999999</v>
      </c>
      <c r="E33" s="25">
        <v>35.392499999999998</v>
      </c>
      <c r="F33" s="25">
        <v>40.816099999999999</v>
      </c>
      <c r="G33" s="25">
        <v>40.651400000000002</v>
      </c>
      <c r="H33" s="25">
        <v>23016.61</v>
      </c>
      <c r="I33" s="25">
        <v>36.229999999999997</v>
      </c>
      <c r="J33" s="26">
        <f t="shared" si="0"/>
        <v>6.393502777777778</v>
      </c>
      <c r="L33" s="24">
        <v>3261.9567999999999</v>
      </c>
      <c r="M33" s="25">
        <v>35.392499999999998</v>
      </c>
      <c r="N33" s="25">
        <v>40.816099999999999</v>
      </c>
      <c r="O33" s="25">
        <v>40.651400000000002</v>
      </c>
      <c r="P33" s="25">
        <v>23232.45</v>
      </c>
      <c r="Q33" s="25">
        <v>35.83</v>
      </c>
      <c r="R33" s="26">
        <f t="shared" si="1"/>
        <v>6.4534583333333337</v>
      </c>
      <c r="S33" s="19"/>
      <c r="T33" s="29"/>
      <c r="U33" s="30"/>
      <c r="V33" s="30"/>
      <c r="W33" s="29"/>
      <c r="X33" s="30"/>
      <c r="Y33" s="31"/>
    </row>
    <row r="34" spans="1:25" ht="12.75" thickBot="1" x14ac:dyDescent="0.25">
      <c r="A34" s="23"/>
      <c r="B34" s="32"/>
      <c r="C34" s="32">
        <v>37</v>
      </c>
      <c r="D34" s="33">
        <v>1656.2360000000001</v>
      </c>
      <c r="E34" s="34">
        <v>33.227800000000002</v>
      </c>
      <c r="F34" s="34">
        <v>39.801900000000003</v>
      </c>
      <c r="G34" s="34">
        <v>39.2759</v>
      </c>
      <c r="H34" s="34">
        <v>19706.400000000001</v>
      </c>
      <c r="I34" s="34">
        <v>31.64</v>
      </c>
      <c r="J34" s="35">
        <f t="shared" si="0"/>
        <v>5.4740000000000002</v>
      </c>
      <c r="L34" s="33">
        <v>1656.2360000000001</v>
      </c>
      <c r="M34" s="34">
        <v>33.227800000000002</v>
      </c>
      <c r="N34" s="34">
        <v>39.801900000000003</v>
      </c>
      <c r="O34" s="34">
        <v>39.2759</v>
      </c>
      <c r="P34" s="34">
        <v>19760.2</v>
      </c>
      <c r="Q34" s="34">
        <v>31.08</v>
      </c>
      <c r="R34" s="35">
        <f t="shared" si="1"/>
        <v>5.4889444444444448</v>
      </c>
      <c r="S34" s="19"/>
      <c r="T34" s="38"/>
      <c r="U34" s="39"/>
      <c r="V34" s="39"/>
      <c r="W34" s="38"/>
      <c r="X34" s="39"/>
      <c r="Y34" s="40"/>
    </row>
    <row r="35" spans="1:25" x14ac:dyDescent="0.2">
      <c r="A35" s="23"/>
      <c r="B35" s="13" t="s">
        <v>13</v>
      </c>
      <c r="C35" s="13">
        <v>22</v>
      </c>
      <c r="D35" s="14">
        <v>64489.123200000002</v>
      </c>
      <c r="E35" s="15">
        <v>38.327399999999997</v>
      </c>
      <c r="F35" s="15">
        <v>41.921900000000001</v>
      </c>
      <c r="G35" s="15">
        <v>44.153500000000001</v>
      </c>
      <c r="H35" s="15">
        <v>43089.14</v>
      </c>
      <c r="I35" s="15">
        <v>96.49</v>
      </c>
      <c r="J35" s="16">
        <f t="shared" si="0"/>
        <v>11.969205555555556</v>
      </c>
      <c r="L35" s="14">
        <v>64489.123200000002</v>
      </c>
      <c r="M35" s="15">
        <v>38.327399999999997</v>
      </c>
      <c r="N35" s="15">
        <v>41.921900000000001</v>
      </c>
      <c r="O35" s="15">
        <v>44.153500000000001</v>
      </c>
      <c r="P35" s="15">
        <v>43076.46</v>
      </c>
      <c r="Q35" s="15">
        <v>94.97</v>
      </c>
      <c r="R35" s="16">
        <f t="shared" si="1"/>
        <v>11.965683333333333</v>
      </c>
      <c r="S35" s="19"/>
      <c r="T35" s="20">
        <f>[1]!bdrate($D35:$D38,E35:E38,$L35:$L38,M35:M38)</f>
        <v>0</v>
      </c>
      <c r="U35" s="21">
        <f>[1]!bdrate($D35:$D38,F35:F38,$L35:$L38,N35:N38)</f>
        <v>0</v>
      </c>
      <c r="V35" s="21">
        <f>[1]!bdrate($D35:$D38,G35:G38,$L35:$L38,O35:O38)</f>
        <v>0</v>
      </c>
      <c r="W35" s="41">
        <f>[1]!bdrateOld($D35:$D38,E35:E38,$L35:$L38,M35:M38)</f>
        <v>0</v>
      </c>
      <c r="X35" s="42">
        <f>[1]!bdrateOld($D35:$D38,F35:F38,$L35:$L38,N35:N38)</f>
        <v>0</v>
      </c>
      <c r="Y35" s="43">
        <f>[1]!bdrateOld($D35:$D38,G35:G38,$L35:$L38,O35:O38)</f>
        <v>0</v>
      </c>
    </row>
    <row r="36" spans="1:25" x14ac:dyDescent="0.2">
      <c r="A36" s="23"/>
      <c r="B36" s="23"/>
      <c r="C36" s="23">
        <v>27</v>
      </c>
      <c r="D36" s="24">
        <v>9709.9752000000008</v>
      </c>
      <c r="E36" s="25">
        <v>35.132599999999996</v>
      </c>
      <c r="F36" s="25">
        <v>40.466999999999999</v>
      </c>
      <c r="G36" s="25">
        <v>42.908000000000001</v>
      </c>
      <c r="H36" s="25">
        <v>23817.57</v>
      </c>
      <c r="I36" s="25">
        <v>50.78</v>
      </c>
      <c r="J36" s="26">
        <f t="shared" si="0"/>
        <v>6.6159916666666669</v>
      </c>
      <c r="L36" s="24">
        <v>9709.9752000000008</v>
      </c>
      <c r="M36" s="25">
        <v>35.132599999999996</v>
      </c>
      <c r="N36" s="25">
        <v>40.466999999999999</v>
      </c>
      <c r="O36" s="25">
        <v>42.908000000000001</v>
      </c>
      <c r="P36" s="25">
        <v>23753.59</v>
      </c>
      <c r="Q36" s="25">
        <v>50.17</v>
      </c>
      <c r="R36" s="26">
        <f t="shared" si="1"/>
        <v>6.5982194444444442</v>
      </c>
      <c r="S36" s="19"/>
      <c r="T36" s="29"/>
      <c r="U36" s="30"/>
      <c r="V36" s="30"/>
      <c r="W36" s="29"/>
      <c r="X36" s="30"/>
      <c r="Y36" s="31"/>
    </row>
    <row r="37" spans="1:25" x14ac:dyDescent="0.2">
      <c r="A37" s="23"/>
      <c r="B37" s="23"/>
      <c r="C37" s="23">
        <v>32</v>
      </c>
      <c r="D37" s="24">
        <v>2354.7175999999999</v>
      </c>
      <c r="E37" s="25">
        <v>33.395200000000003</v>
      </c>
      <c r="F37" s="25">
        <v>39.1464</v>
      </c>
      <c r="G37" s="25">
        <v>41.780999999999999</v>
      </c>
      <c r="H37" s="25">
        <v>18033.21</v>
      </c>
      <c r="I37" s="25">
        <v>36.24</v>
      </c>
      <c r="J37" s="26">
        <f t="shared" si="0"/>
        <v>5.0092249999999998</v>
      </c>
      <c r="L37" s="24">
        <v>2354.7175999999999</v>
      </c>
      <c r="M37" s="25">
        <v>33.395200000000003</v>
      </c>
      <c r="N37" s="25">
        <v>39.1464</v>
      </c>
      <c r="O37" s="25">
        <v>41.780999999999999</v>
      </c>
      <c r="P37" s="25">
        <v>18023.21</v>
      </c>
      <c r="Q37" s="25">
        <v>36.21</v>
      </c>
      <c r="R37" s="26">
        <f t="shared" si="1"/>
        <v>5.0064472222222216</v>
      </c>
      <c r="S37" s="19"/>
      <c r="T37" s="29"/>
      <c r="U37" s="30"/>
      <c r="V37" s="30"/>
      <c r="W37" s="29"/>
      <c r="X37" s="30"/>
      <c r="Y37" s="31"/>
    </row>
    <row r="38" spans="1:25" ht="12.75" thickBot="1" x14ac:dyDescent="0.25">
      <c r="A38" s="32"/>
      <c r="B38" s="32"/>
      <c r="C38" s="32">
        <v>37</v>
      </c>
      <c r="D38" s="33">
        <v>838.87760000000003</v>
      </c>
      <c r="E38" s="34">
        <v>31.199300000000001</v>
      </c>
      <c r="F38" s="34">
        <v>38.2605</v>
      </c>
      <c r="G38" s="34">
        <v>40.938899999999997</v>
      </c>
      <c r="H38" s="34">
        <v>15955.37</v>
      </c>
      <c r="I38" s="34">
        <v>31.5</v>
      </c>
      <c r="J38" s="35">
        <f t="shared" si="0"/>
        <v>4.4320472222222227</v>
      </c>
      <c r="L38" s="33">
        <v>838.87760000000003</v>
      </c>
      <c r="M38" s="34">
        <v>31.199300000000001</v>
      </c>
      <c r="N38" s="34">
        <v>38.2605</v>
      </c>
      <c r="O38" s="34">
        <v>40.938899999999997</v>
      </c>
      <c r="P38" s="34">
        <v>15825.46</v>
      </c>
      <c r="Q38" s="34">
        <v>31.5</v>
      </c>
      <c r="R38" s="35">
        <f t="shared" si="1"/>
        <v>4.3959611111111112</v>
      </c>
      <c r="S38" s="19"/>
      <c r="T38" s="38"/>
      <c r="U38" s="39"/>
      <c r="V38" s="39"/>
      <c r="W38" s="38"/>
      <c r="X38" s="39"/>
      <c r="Y38" s="40"/>
    </row>
    <row r="39" spans="1:25" x14ac:dyDescent="0.2">
      <c r="A39" s="13" t="s">
        <v>14</v>
      </c>
      <c r="B39" s="13" t="s">
        <v>15</v>
      </c>
      <c r="C39" s="13">
        <v>22</v>
      </c>
      <c r="D39" s="14">
        <v>3863.9928</v>
      </c>
      <c r="E39" s="15">
        <v>40.260399999999997</v>
      </c>
      <c r="F39" s="15">
        <v>42.767299999999999</v>
      </c>
      <c r="G39" s="15">
        <v>43.290100000000002</v>
      </c>
      <c r="H39" s="15">
        <v>6423.5</v>
      </c>
      <c r="I39" s="15">
        <v>11.18</v>
      </c>
      <c r="J39" s="16">
        <f t="shared" si="0"/>
        <v>1.7843055555555556</v>
      </c>
      <c r="L39" s="14">
        <v>3863.9928</v>
      </c>
      <c r="M39" s="15">
        <v>40.260399999999997</v>
      </c>
      <c r="N39" s="15">
        <v>42.767299999999999</v>
      </c>
      <c r="O39" s="15">
        <v>43.290100000000002</v>
      </c>
      <c r="P39" s="15">
        <v>6401.26</v>
      </c>
      <c r="Q39" s="15">
        <v>11.13</v>
      </c>
      <c r="R39" s="16">
        <f t="shared" si="1"/>
        <v>1.7781277777777778</v>
      </c>
      <c r="S39" s="19"/>
      <c r="T39" s="20">
        <f>[1]!bdrate($D39:$D42,E39:E42,$L39:$L42,M39:M42)</f>
        <v>0</v>
      </c>
      <c r="U39" s="21">
        <f>[1]!bdrate($D39:$D42,F39:F42,$L39:$L42,N39:N42)</f>
        <v>0</v>
      </c>
      <c r="V39" s="21">
        <f>[1]!bdrate($D39:$D42,G39:G42,$L39:$L42,O39:O42)</f>
        <v>0</v>
      </c>
      <c r="W39" s="41">
        <f>[1]!bdrateOld($D39:$D42,E39:E42,$L39:$L42,M39:M42)</f>
        <v>0</v>
      </c>
      <c r="X39" s="42">
        <f>[1]!bdrateOld($D39:$D42,F39:F42,$L39:$L42,N39:N42)</f>
        <v>0</v>
      </c>
      <c r="Y39" s="43">
        <f>[1]!bdrateOld($D39:$D42,G39:G42,$L39:$L42,O39:O42)</f>
        <v>0</v>
      </c>
    </row>
    <row r="40" spans="1:25" x14ac:dyDescent="0.2">
      <c r="A40" s="23" t="s">
        <v>16</v>
      </c>
      <c r="B40" s="23"/>
      <c r="C40" s="23">
        <v>27</v>
      </c>
      <c r="D40" s="24">
        <v>1792.2983999999999</v>
      </c>
      <c r="E40" s="25">
        <v>36.9709</v>
      </c>
      <c r="F40" s="25">
        <v>39.986699999999999</v>
      </c>
      <c r="G40" s="25">
        <v>40.251800000000003</v>
      </c>
      <c r="H40" s="25">
        <v>5182.01</v>
      </c>
      <c r="I40" s="25">
        <v>8.9700000000000006</v>
      </c>
      <c r="J40" s="26">
        <f t="shared" si="0"/>
        <v>1.4394472222222223</v>
      </c>
      <c r="L40" s="24">
        <v>1792.2983999999999</v>
      </c>
      <c r="M40" s="25">
        <v>36.9709</v>
      </c>
      <c r="N40" s="25">
        <v>39.986699999999999</v>
      </c>
      <c r="O40" s="25">
        <v>40.251800000000003</v>
      </c>
      <c r="P40" s="25">
        <v>5147.3</v>
      </c>
      <c r="Q40" s="25">
        <v>8.91</v>
      </c>
      <c r="R40" s="26">
        <f t="shared" si="1"/>
        <v>1.4298055555555556</v>
      </c>
      <c r="S40" s="19"/>
      <c r="T40" s="29"/>
      <c r="U40" s="30"/>
      <c r="V40" s="30"/>
      <c r="W40" s="29"/>
      <c r="X40" s="30"/>
      <c r="Y40" s="31"/>
    </row>
    <row r="41" spans="1:25" x14ac:dyDescent="0.2">
      <c r="A41" s="23"/>
      <c r="B41" s="23"/>
      <c r="C41" s="23">
        <v>32</v>
      </c>
      <c r="D41" s="24">
        <v>850.15039999999999</v>
      </c>
      <c r="E41" s="25">
        <v>34.021900000000002</v>
      </c>
      <c r="F41" s="25">
        <v>37.823300000000003</v>
      </c>
      <c r="G41" s="25">
        <v>37.887999999999998</v>
      </c>
      <c r="H41" s="25">
        <v>4214.83</v>
      </c>
      <c r="I41" s="25">
        <v>7.25</v>
      </c>
      <c r="J41" s="26">
        <f t="shared" si="0"/>
        <v>1.1707861111111111</v>
      </c>
      <c r="L41" s="24">
        <v>850.15039999999999</v>
      </c>
      <c r="M41" s="25">
        <v>34.021900000000002</v>
      </c>
      <c r="N41" s="25">
        <v>37.823300000000003</v>
      </c>
      <c r="O41" s="25">
        <v>37.887999999999998</v>
      </c>
      <c r="P41" s="25">
        <v>4194.6899999999996</v>
      </c>
      <c r="Q41" s="25">
        <v>7.34</v>
      </c>
      <c r="R41" s="26">
        <f t="shared" si="1"/>
        <v>1.1651916666666666</v>
      </c>
      <c r="S41" s="19"/>
      <c r="T41" s="29"/>
      <c r="U41" s="30"/>
      <c r="V41" s="30"/>
      <c r="W41" s="29"/>
      <c r="X41" s="30"/>
      <c r="Y41" s="31"/>
    </row>
    <row r="42" spans="1:25" ht="12.75" thickBot="1" x14ac:dyDescent="0.25">
      <c r="A42" s="23"/>
      <c r="B42" s="32"/>
      <c r="C42" s="32">
        <v>37</v>
      </c>
      <c r="D42" s="33">
        <v>432.5752</v>
      </c>
      <c r="E42" s="34">
        <v>31.457799999999999</v>
      </c>
      <c r="F42" s="34">
        <v>36.453699999999998</v>
      </c>
      <c r="G42" s="34">
        <v>36.299300000000002</v>
      </c>
      <c r="H42" s="34">
        <v>3577.57</v>
      </c>
      <c r="I42" s="34">
        <v>6.19</v>
      </c>
      <c r="J42" s="35">
        <f t="shared" si="0"/>
        <v>0.99376944444444448</v>
      </c>
      <c r="L42" s="33">
        <v>432.5752</v>
      </c>
      <c r="M42" s="34">
        <v>31.457799999999999</v>
      </c>
      <c r="N42" s="34">
        <v>36.453699999999998</v>
      </c>
      <c r="O42" s="34">
        <v>36.299300000000002</v>
      </c>
      <c r="P42" s="34">
        <v>3606.75</v>
      </c>
      <c r="Q42" s="34">
        <v>6.23</v>
      </c>
      <c r="R42" s="35">
        <f t="shared" si="1"/>
        <v>1.0018750000000001</v>
      </c>
      <c r="S42" s="19"/>
      <c r="T42" s="38"/>
      <c r="U42" s="39"/>
      <c r="V42" s="39"/>
      <c r="W42" s="38"/>
      <c r="X42" s="39"/>
      <c r="Y42" s="40"/>
    </row>
    <row r="43" spans="1:25" x14ac:dyDescent="0.2">
      <c r="A43" s="23"/>
      <c r="B43" s="13" t="s">
        <v>17</v>
      </c>
      <c r="C43" s="13">
        <v>22</v>
      </c>
      <c r="D43" s="14">
        <v>4517.4327999999996</v>
      </c>
      <c r="E43" s="15">
        <v>40.111800000000002</v>
      </c>
      <c r="F43" s="15">
        <v>43.157299999999999</v>
      </c>
      <c r="G43" s="15">
        <v>44.565100000000001</v>
      </c>
      <c r="H43" s="15">
        <v>6960.62</v>
      </c>
      <c r="I43" s="15">
        <v>12.85</v>
      </c>
      <c r="J43" s="16">
        <f t="shared" si="0"/>
        <v>1.9335055555555556</v>
      </c>
      <c r="L43" s="14">
        <v>4517.4327999999996</v>
      </c>
      <c r="M43" s="15">
        <v>40.111800000000002</v>
      </c>
      <c r="N43" s="15">
        <v>43.157299999999999</v>
      </c>
      <c r="O43" s="15">
        <v>44.565100000000001</v>
      </c>
      <c r="P43" s="15">
        <v>6951.47</v>
      </c>
      <c r="Q43" s="15">
        <v>12.88</v>
      </c>
      <c r="R43" s="16">
        <f t="shared" si="1"/>
        <v>1.9309638888888889</v>
      </c>
      <c r="S43" s="19"/>
      <c r="T43" s="20">
        <f>[1]!bdrate($D43:$D46,E43:E46,$L43:$L46,M43:M46)</f>
        <v>0</v>
      </c>
      <c r="U43" s="21">
        <f>[1]!bdrate($D43:$D46,F43:F46,$L43:$L46,N43:N46)</f>
        <v>0</v>
      </c>
      <c r="V43" s="21">
        <f>[1]!bdrate($D43:$D46,G43:G46,$L43:$L46,O43:O46)</f>
        <v>0</v>
      </c>
      <c r="W43" s="41">
        <f>[1]!bdrateOld($D43:$D46,E43:E46,$L43:$L46,M43:M46)</f>
        <v>0</v>
      </c>
      <c r="X43" s="42">
        <f>[1]!bdrateOld($D43:$D46,F43:F46,$L43:$L46,N43:N46)</f>
        <v>0</v>
      </c>
      <c r="Y43" s="43">
        <f>[1]!bdrateOld($D43:$D46,G43:G46,$L43:$L46,O43:O46)</f>
        <v>0</v>
      </c>
    </row>
    <row r="44" spans="1:25" x14ac:dyDescent="0.2">
      <c r="A44" s="23"/>
      <c r="B44" s="23"/>
      <c r="C44" s="23">
        <v>27</v>
      </c>
      <c r="D44" s="24">
        <v>1962.4272000000001</v>
      </c>
      <c r="E44" s="25">
        <v>37.166800000000002</v>
      </c>
      <c r="F44" s="25">
        <v>40.929600000000001</v>
      </c>
      <c r="G44" s="25">
        <v>41.979799999999997</v>
      </c>
      <c r="H44" s="25">
        <v>5417.46</v>
      </c>
      <c r="I44" s="25">
        <v>10.17</v>
      </c>
      <c r="J44" s="26">
        <f t="shared" si="0"/>
        <v>1.50485</v>
      </c>
      <c r="L44" s="24">
        <v>1962.4272000000001</v>
      </c>
      <c r="M44" s="25">
        <v>37.166800000000002</v>
      </c>
      <c r="N44" s="25">
        <v>40.929600000000001</v>
      </c>
      <c r="O44" s="25">
        <v>41.979799999999997</v>
      </c>
      <c r="P44" s="25">
        <v>5456.84</v>
      </c>
      <c r="Q44" s="25">
        <v>10.199999999999999</v>
      </c>
      <c r="R44" s="26">
        <f t="shared" si="1"/>
        <v>1.5157888888888889</v>
      </c>
      <c r="S44" s="19"/>
      <c r="T44" s="29"/>
      <c r="U44" s="30"/>
      <c r="V44" s="30"/>
      <c r="W44" s="29"/>
      <c r="X44" s="30"/>
      <c r="Y44" s="31"/>
    </row>
    <row r="45" spans="1:25" x14ac:dyDescent="0.2">
      <c r="A45" s="23"/>
      <c r="B45" s="23"/>
      <c r="C45" s="23">
        <v>32</v>
      </c>
      <c r="D45" s="24">
        <v>936.12239999999997</v>
      </c>
      <c r="E45" s="25">
        <v>34.186</v>
      </c>
      <c r="F45" s="25">
        <v>39.145699999999998</v>
      </c>
      <c r="G45" s="25">
        <v>40.020800000000001</v>
      </c>
      <c r="H45" s="25">
        <v>4508.34</v>
      </c>
      <c r="I45" s="25">
        <v>8.3699999999999992</v>
      </c>
      <c r="J45" s="26">
        <f t="shared" si="0"/>
        <v>1.2523166666666667</v>
      </c>
      <c r="L45" s="24">
        <v>936.12239999999997</v>
      </c>
      <c r="M45" s="25">
        <v>34.186</v>
      </c>
      <c r="N45" s="25">
        <v>39.145699999999998</v>
      </c>
      <c r="O45" s="25">
        <v>40.020800000000001</v>
      </c>
      <c r="P45" s="25">
        <v>4497.16</v>
      </c>
      <c r="Q45" s="25">
        <v>8.18</v>
      </c>
      <c r="R45" s="26">
        <f t="shared" si="1"/>
        <v>1.249211111111111</v>
      </c>
      <c r="S45" s="19"/>
      <c r="T45" s="29"/>
      <c r="U45" s="30"/>
      <c r="V45" s="30"/>
      <c r="W45" s="29"/>
      <c r="X45" s="30"/>
      <c r="Y45" s="31"/>
    </row>
    <row r="46" spans="1:25" ht="12.75" thickBot="1" x14ac:dyDescent="0.25">
      <c r="A46" s="23"/>
      <c r="B46" s="32"/>
      <c r="C46" s="32">
        <v>37</v>
      </c>
      <c r="D46" s="33">
        <v>469.2792</v>
      </c>
      <c r="E46" s="34">
        <v>31.267299999999999</v>
      </c>
      <c r="F46" s="34">
        <v>37.847299999999997</v>
      </c>
      <c r="G46" s="34">
        <v>38.627400000000002</v>
      </c>
      <c r="H46" s="34">
        <v>3935.41</v>
      </c>
      <c r="I46" s="34">
        <v>7.26</v>
      </c>
      <c r="J46" s="35">
        <f t="shared" si="0"/>
        <v>1.0931694444444444</v>
      </c>
      <c r="L46" s="33">
        <v>469.2792</v>
      </c>
      <c r="M46" s="34">
        <v>31.267299999999999</v>
      </c>
      <c r="N46" s="34">
        <v>37.847299999999997</v>
      </c>
      <c r="O46" s="34">
        <v>38.627400000000002</v>
      </c>
      <c r="P46" s="34">
        <v>3930.82</v>
      </c>
      <c r="Q46" s="34">
        <v>7.12</v>
      </c>
      <c r="R46" s="35">
        <f t="shared" si="1"/>
        <v>1.0918944444444445</v>
      </c>
      <c r="S46" s="19"/>
      <c r="T46" s="38"/>
      <c r="U46" s="39"/>
      <c r="V46" s="39"/>
      <c r="W46" s="38"/>
      <c r="X46" s="39"/>
      <c r="Y46" s="40"/>
    </row>
    <row r="47" spans="1:25" x14ac:dyDescent="0.2">
      <c r="A47" s="23"/>
      <c r="B47" s="13" t="s">
        <v>18</v>
      </c>
      <c r="C47" s="13">
        <v>22</v>
      </c>
      <c r="D47" s="14">
        <v>9243.1031999999996</v>
      </c>
      <c r="E47" s="15">
        <v>38.310899999999997</v>
      </c>
      <c r="F47" s="15">
        <v>41.0974</v>
      </c>
      <c r="G47" s="15">
        <v>42.031999999999996</v>
      </c>
      <c r="H47" s="15">
        <v>7322.84</v>
      </c>
      <c r="I47" s="15">
        <v>15.24</v>
      </c>
      <c r="J47" s="16">
        <f t="shared" si="0"/>
        <v>2.0341222222222224</v>
      </c>
      <c r="L47" s="14">
        <v>9243.1031999999996</v>
      </c>
      <c r="M47" s="15">
        <v>38.310899999999997</v>
      </c>
      <c r="N47" s="15">
        <v>41.0974</v>
      </c>
      <c r="O47" s="15">
        <v>42.031999999999996</v>
      </c>
      <c r="P47" s="15">
        <v>7357.52</v>
      </c>
      <c r="Q47" s="15">
        <v>15.31</v>
      </c>
      <c r="R47" s="16">
        <f t="shared" si="1"/>
        <v>2.0437555555555558</v>
      </c>
      <c r="S47" s="19"/>
      <c r="T47" s="20">
        <f>[1]!bdrate($D47:$D50,E47:E50,$L47:$L50,M47:M50)</f>
        <v>0</v>
      </c>
      <c r="U47" s="21">
        <f>[1]!bdrate($D47:$D50,F47:F50,$L47:$L50,N47:N50)</f>
        <v>0</v>
      </c>
      <c r="V47" s="21">
        <f>[1]!bdrate($D47:$D50,G47:G50,$L47:$L50,O47:O50)</f>
        <v>0</v>
      </c>
      <c r="W47" s="41">
        <f>[1]!bdrateOld($D47:$D50,E47:E50,$L47:$L50,M47:M50)</f>
        <v>0</v>
      </c>
      <c r="X47" s="42">
        <f>[1]!bdrateOld($D47:$D50,F47:F50,$L47:$L50,N47:N50)</f>
        <v>0</v>
      </c>
      <c r="Y47" s="43">
        <f>[1]!bdrateOld($D47:$D50,G47:G50,$L47:$L50,O47:O50)</f>
        <v>0</v>
      </c>
    </row>
    <row r="48" spans="1:25" x14ac:dyDescent="0.2">
      <c r="A48" s="23"/>
      <c r="B48" s="23"/>
      <c r="C48" s="23">
        <v>27</v>
      </c>
      <c r="D48" s="24">
        <v>3683.5855999999999</v>
      </c>
      <c r="E48" s="25">
        <v>34.393999999999998</v>
      </c>
      <c r="F48" s="25">
        <v>38.283799999999999</v>
      </c>
      <c r="G48" s="25">
        <v>39.121299999999998</v>
      </c>
      <c r="H48" s="25">
        <v>5290.71</v>
      </c>
      <c r="I48" s="25">
        <v>10.81</v>
      </c>
      <c r="J48" s="26">
        <f t="shared" si="0"/>
        <v>1.4696416666666667</v>
      </c>
      <c r="L48" s="24">
        <v>3683.5855999999999</v>
      </c>
      <c r="M48" s="25">
        <v>34.393999999999998</v>
      </c>
      <c r="N48" s="25">
        <v>38.283799999999999</v>
      </c>
      <c r="O48" s="25">
        <v>39.121299999999998</v>
      </c>
      <c r="P48" s="25">
        <v>5348.66</v>
      </c>
      <c r="Q48" s="25">
        <v>11.15</v>
      </c>
      <c r="R48" s="26">
        <f t="shared" si="1"/>
        <v>1.4857388888888889</v>
      </c>
      <c r="S48" s="19"/>
      <c r="T48" s="29"/>
      <c r="U48" s="30"/>
      <c r="V48" s="30"/>
      <c r="W48" s="29"/>
      <c r="X48" s="30"/>
      <c r="Y48" s="31"/>
    </row>
    <row r="49" spans="1:25" x14ac:dyDescent="0.2">
      <c r="A49" s="23"/>
      <c r="B49" s="23"/>
      <c r="C49" s="23">
        <v>32</v>
      </c>
      <c r="D49" s="24">
        <v>1560.8176000000001</v>
      </c>
      <c r="E49" s="25">
        <v>30.988199999999999</v>
      </c>
      <c r="F49" s="25">
        <v>36.273899999999998</v>
      </c>
      <c r="G49" s="25">
        <v>37.045499999999997</v>
      </c>
      <c r="H49" s="25">
        <v>4183.91</v>
      </c>
      <c r="I49" s="25">
        <v>8.24</v>
      </c>
      <c r="J49" s="26">
        <f t="shared" si="0"/>
        <v>1.1621972222222221</v>
      </c>
      <c r="L49" s="24">
        <v>1560.8176000000001</v>
      </c>
      <c r="M49" s="25">
        <v>30.988199999999999</v>
      </c>
      <c r="N49" s="25">
        <v>36.273899999999998</v>
      </c>
      <c r="O49" s="25">
        <v>37.045499999999997</v>
      </c>
      <c r="P49" s="25">
        <v>4144.6899999999996</v>
      </c>
      <c r="Q49" s="25">
        <v>8.26</v>
      </c>
      <c r="R49" s="26">
        <f t="shared" si="1"/>
        <v>1.1513027777777776</v>
      </c>
      <c r="S49" s="19"/>
      <c r="T49" s="29"/>
      <c r="U49" s="30"/>
      <c r="V49" s="30"/>
      <c r="W49" s="29"/>
      <c r="X49" s="30"/>
      <c r="Y49" s="31"/>
    </row>
    <row r="50" spans="1:25" ht="12.75" thickBot="1" x14ac:dyDescent="0.25">
      <c r="A50" s="23"/>
      <c r="B50" s="32"/>
      <c r="C50" s="32">
        <v>37</v>
      </c>
      <c r="D50" s="33">
        <v>656.29679999999996</v>
      </c>
      <c r="E50" s="34">
        <v>27.7605</v>
      </c>
      <c r="F50" s="34">
        <v>34.891100000000002</v>
      </c>
      <c r="G50" s="34">
        <v>35.665100000000002</v>
      </c>
      <c r="H50" s="34">
        <v>3405.71</v>
      </c>
      <c r="I50" s="34">
        <v>6.66</v>
      </c>
      <c r="J50" s="35">
        <f t="shared" si="0"/>
        <v>0.9460305555555556</v>
      </c>
      <c r="L50" s="33">
        <v>656.29679999999996</v>
      </c>
      <c r="M50" s="34">
        <v>27.7605</v>
      </c>
      <c r="N50" s="34">
        <v>34.891100000000002</v>
      </c>
      <c r="O50" s="34">
        <v>35.665100000000002</v>
      </c>
      <c r="P50" s="34">
        <v>3418.65</v>
      </c>
      <c r="Q50" s="34">
        <v>6.64</v>
      </c>
      <c r="R50" s="35">
        <f t="shared" si="1"/>
        <v>0.94962500000000005</v>
      </c>
      <c r="S50" s="19"/>
      <c r="T50" s="38"/>
      <c r="U50" s="39"/>
      <c r="V50" s="39"/>
      <c r="W50" s="38"/>
      <c r="X50" s="39"/>
      <c r="Y50" s="40"/>
    </row>
    <row r="51" spans="1:25" x14ac:dyDescent="0.2">
      <c r="A51" s="23"/>
      <c r="B51" s="13" t="s">
        <v>19</v>
      </c>
      <c r="C51" s="13">
        <v>22</v>
      </c>
      <c r="D51" s="14">
        <v>6026.3696</v>
      </c>
      <c r="E51" s="15">
        <v>39.919800000000002</v>
      </c>
      <c r="F51" s="15">
        <v>41.352200000000003</v>
      </c>
      <c r="G51" s="15">
        <v>42.781999999999996</v>
      </c>
      <c r="H51" s="15">
        <v>5744.74</v>
      </c>
      <c r="I51" s="15">
        <v>9.31</v>
      </c>
      <c r="J51" s="16">
        <f t="shared" si="0"/>
        <v>1.595761111111111</v>
      </c>
      <c r="L51" s="14">
        <v>6026.3696</v>
      </c>
      <c r="M51" s="15">
        <v>39.919800000000002</v>
      </c>
      <c r="N51" s="15">
        <v>41.352200000000003</v>
      </c>
      <c r="O51" s="15">
        <v>42.781999999999996</v>
      </c>
      <c r="P51" s="15">
        <v>5732.62</v>
      </c>
      <c r="Q51" s="15">
        <v>9.2100000000000009</v>
      </c>
      <c r="R51" s="16">
        <f t="shared" si="1"/>
        <v>1.5923944444444444</v>
      </c>
      <c r="S51" s="19"/>
      <c r="T51" s="20">
        <f>[1]!bdrate($D51:$D54,E51:E54,$L51:$L54,M51:M54)</f>
        <v>0</v>
      </c>
      <c r="U51" s="21">
        <f>[1]!bdrate($D51:$D54,F51:F54,$L51:$L54,N51:N54)</f>
        <v>0</v>
      </c>
      <c r="V51" s="21">
        <f>[1]!bdrate($D51:$D54,G51:G54,$L51:$L54,O51:O54)</f>
        <v>0</v>
      </c>
      <c r="W51" s="41">
        <f>[1]!bdrateOld($D51:$D54,E51:E54,$L51:$L54,M51:M54)</f>
        <v>0</v>
      </c>
      <c r="X51" s="42">
        <f>[1]!bdrateOld($D51:$D54,F51:F54,$L51:$L54,N51:N54)</f>
        <v>0</v>
      </c>
      <c r="Y51" s="43">
        <f>[1]!bdrateOld($D51:$D54,G51:G54,$L51:$L54,O51:O54)</f>
        <v>0</v>
      </c>
    </row>
    <row r="52" spans="1:25" x14ac:dyDescent="0.2">
      <c r="A52" s="23"/>
      <c r="B52" s="23"/>
      <c r="C52" s="23">
        <v>27</v>
      </c>
      <c r="D52" s="24">
        <v>2357.9591999999998</v>
      </c>
      <c r="E52" s="25">
        <v>36.095100000000002</v>
      </c>
      <c r="F52" s="25">
        <v>38.695</v>
      </c>
      <c r="G52" s="25">
        <v>40.343899999999998</v>
      </c>
      <c r="H52" s="25">
        <v>4540.9799999999996</v>
      </c>
      <c r="I52" s="25">
        <v>7.02</v>
      </c>
      <c r="J52" s="26">
        <f t="shared" si="0"/>
        <v>1.2613833333333333</v>
      </c>
      <c r="L52" s="24">
        <v>2357.9591999999998</v>
      </c>
      <c r="M52" s="25">
        <v>36.095100000000002</v>
      </c>
      <c r="N52" s="25">
        <v>38.695</v>
      </c>
      <c r="O52" s="25">
        <v>40.343899999999998</v>
      </c>
      <c r="P52" s="25">
        <v>4521.93</v>
      </c>
      <c r="Q52" s="25">
        <v>7</v>
      </c>
      <c r="R52" s="26">
        <f t="shared" si="1"/>
        <v>1.2560916666666668</v>
      </c>
      <c r="S52" s="19"/>
      <c r="T52" s="29"/>
      <c r="U52" s="30"/>
      <c r="V52" s="30"/>
      <c r="W52" s="29"/>
      <c r="X52" s="30"/>
      <c r="Y52" s="31"/>
    </row>
    <row r="53" spans="1:25" x14ac:dyDescent="0.2">
      <c r="A53" s="23"/>
      <c r="B53" s="23"/>
      <c r="C53" s="23">
        <v>32</v>
      </c>
      <c r="D53" s="24">
        <v>1019.2096</v>
      </c>
      <c r="E53" s="25">
        <v>32.911200000000001</v>
      </c>
      <c r="F53" s="25">
        <v>36.744599999999998</v>
      </c>
      <c r="G53" s="25">
        <v>38.424399999999999</v>
      </c>
      <c r="H53" s="25">
        <v>3637.13</v>
      </c>
      <c r="I53" s="25">
        <v>5.48</v>
      </c>
      <c r="J53" s="26">
        <f t="shared" si="0"/>
        <v>1.010313888888889</v>
      </c>
      <c r="L53" s="24">
        <v>1019.2096</v>
      </c>
      <c r="M53" s="25">
        <v>32.911200000000001</v>
      </c>
      <c r="N53" s="25">
        <v>36.744599999999998</v>
      </c>
      <c r="O53" s="25">
        <v>38.424399999999999</v>
      </c>
      <c r="P53" s="25">
        <v>3631.21</v>
      </c>
      <c r="Q53" s="25">
        <v>5.48</v>
      </c>
      <c r="R53" s="26">
        <f t="shared" si="1"/>
        <v>1.0086694444444444</v>
      </c>
      <c r="S53" s="19"/>
      <c r="T53" s="29"/>
      <c r="U53" s="30"/>
      <c r="V53" s="30"/>
      <c r="W53" s="29"/>
      <c r="X53" s="30"/>
      <c r="Y53" s="31"/>
    </row>
    <row r="54" spans="1:25" ht="12.75" thickBot="1" x14ac:dyDescent="0.25">
      <c r="A54" s="32"/>
      <c r="B54" s="32"/>
      <c r="C54" s="32">
        <v>37</v>
      </c>
      <c r="D54" s="33">
        <v>463.42399999999998</v>
      </c>
      <c r="E54" s="34">
        <v>30.0623</v>
      </c>
      <c r="F54" s="34">
        <v>35.489100000000001</v>
      </c>
      <c r="G54" s="34">
        <v>37.153399999999998</v>
      </c>
      <c r="H54" s="34">
        <v>2979.45</v>
      </c>
      <c r="I54" s="34">
        <v>4.47</v>
      </c>
      <c r="J54" s="35">
        <f t="shared" si="0"/>
        <v>0.82762499999999994</v>
      </c>
      <c r="L54" s="33">
        <v>463.42399999999998</v>
      </c>
      <c r="M54" s="34">
        <v>30.0623</v>
      </c>
      <c r="N54" s="34">
        <v>35.489100000000001</v>
      </c>
      <c r="O54" s="34">
        <v>37.153399999999998</v>
      </c>
      <c r="P54" s="34">
        <v>2974.61</v>
      </c>
      <c r="Q54" s="34">
        <v>4.41</v>
      </c>
      <c r="R54" s="35">
        <f t="shared" si="1"/>
        <v>0.82628055555555557</v>
      </c>
      <c r="S54" s="19"/>
      <c r="T54" s="38"/>
      <c r="U54" s="39"/>
      <c r="V54" s="39"/>
      <c r="W54" s="38"/>
      <c r="X54" s="39"/>
      <c r="Y54" s="40"/>
    </row>
    <row r="55" spans="1:25" x14ac:dyDescent="0.2">
      <c r="A55" s="13" t="s">
        <v>20</v>
      </c>
      <c r="B55" s="13" t="s">
        <v>21</v>
      </c>
      <c r="C55" s="13">
        <v>22</v>
      </c>
      <c r="D55" s="14">
        <v>1762.4664</v>
      </c>
      <c r="E55" s="15">
        <v>40.9206</v>
      </c>
      <c r="F55" s="15">
        <v>43.5764</v>
      </c>
      <c r="G55" s="15">
        <v>42.979599999999998</v>
      </c>
      <c r="H55" s="15">
        <v>1767.63</v>
      </c>
      <c r="I55" s="15">
        <v>3.37</v>
      </c>
      <c r="J55" s="16">
        <f t="shared" si="0"/>
        <v>0.49100833333333338</v>
      </c>
      <c r="L55" s="14">
        <v>1762.4664</v>
      </c>
      <c r="M55" s="15">
        <v>40.9206</v>
      </c>
      <c r="N55" s="15">
        <v>43.5764</v>
      </c>
      <c r="O55" s="15">
        <v>42.979599999999998</v>
      </c>
      <c r="P55" s="15">
        <v>1762.94</v>
      </c>
      <c r="Q55" s="15">
        <v>3.37</v>
      </c>
      <c r="R55" s="16">
        <f t="shared" si="1"/>
        <v>0.48970555555555556</v>
      </c>
      <c r="S55" s="19"/>
      <c r="T55" s="20">
        <f>[1]!bdrate($D55:$D58,E55:E58,$L55:$L58,M55:M58)</f>
        <v>0</v>
      </c>
      <c r="U55" s="21">
        <f>[1]!bdrate($D55:$D58,F55:F58,$L55:$L58,N55:N58)</f>
        <v>0</v>
      </c>
      <c r="V55" s="21">
        <f>[1]!bdrate($D55:$D58,G55:G58,$L55:$L58,O55:O58)</f>
        <v>0</v>
      </c>
      <c r="W55" s="41">
        <f>[1]!bdrateOld($D55:$D58,E55:E58,$L55:$L58,M55:M58)</f>
        <v>0</v>
      </c>
      <c r="X55" s="42">
        <f>[1]!bdrateOld($D55:$D58,F55:F58,$L55:$L58,N55:N58)</f>
        <v>0</v>
      </c>
      <c r="Y55" s="43">
        <f>[1]!bdrateOld($D55:$D58,G55:G58,$L55:$L58,O55:O58)</f>
        <v>0</v>
      </c>
    </row>
    <row r="56" spans="1:25" x14ac:dyDescent="0.2">
      <c r="A56" s="23" t="s">
        <v>22</v>
      </c>
      <c r="B56" s="23"/>
      <c r="C56" s="23">
        <v>27</v>
      </c>
      <c r="D56" s="24">
        <v>874.58479999999997</v>
      </c>
      <c r="E56" s="25">
        <v>36.951999999999998</v>
      </c>
      <c r="F56" s="25">
        <v>40.669400000000003</v>
      </c>
      <c r="G56" s="25">
        <v>39.648800000000001</v>
      </c>
      <c r="H56" s="25">
        <v>1476.15</v>
      </c>
      <c r="I56" s="25">
        <v>2.75</v>
      </c>
      <c r="J56" s="26">
        <f t="shared" si="0"/>
        <v>0.41004166666666669</v>
      </c>
      <c r="L56" s="24">
        <v>874.58479999999997</v>
      </c>
      <c r="M56" s="25">
        <v>36.951999999999998</v>
      </c>
      <c r="N56" s="25">
        <v>40.669400000000003</v>
      </c>
      <c r="O56" s="25">
        <v>39.648800000000001</v>
      </c>
      <c r="P56" s="25">
        <v>1466.67</v>
      </c>
      <c r="Q56" s="25">
        <v>2.8</v>
      </c>
      <c r="R56" s="26">
        <f t="shared" si="1"/>
        <v>0.40740833333333337</v>
      </c>
      <c r="S56" s="19"/>
      <c r="T56" s="29"/>
      <c r="U56" s="30"/>
      <c r="V56" s="30"/>
      <c r="W56" s="29"/>
      <c r="X56" s="30"/>
      <c r="Y56" s="31"/>
    </row>
    <row r="57" spans="1:25" x14ac:dyDescent="0.2">
      <c r="A57" s="23"/>
      <c r="B57" s="23"/>
      <c r="C57" s="23">
        <v>32</v>
      </c>
      <c r="D57" s="24">
        <v>425.73680000000002</v>
      </c>
      <c r="E57" s="25">
        <v>33.415100000000002</v>
      </c>
      <c r="F57" s="25">
        <v>38.5627</v>
      </c>
      <c r="G57" s="25">
        <v>37.182899999999997</v>
      </c>
      <c r="H57" s="25">
        <v>1219.94</v>
      </c>
      <c r="I57" s="25">
        <v>2.2599999999999998</v>
      </c>
      <c r="J57" s="26">
        <f t="shared" si="0"/>
        <v>0.33887222222222224</v>
      </c>
      <c r="L57" s="24">
        <v>425.73680000000002</v>
      </c>
      <c r="M57" s="25">
        <v>33.415100000000002</v>
      </c>
      <c r="N57" s="25">
        <v>38.5627</v>
      </c>
      <c r="O57" s="25">
        <v>37.182899999999997</v>
      </c>
      <c r="P57" s="25">
        <v>1217.27</v>
      </c>
      <c r="Q57" s="25">
        <v>2.2799999999999998</v>
      </c>
      <c r="R57" s="26">
        <f t="shared" si="1"/>
        <v>0.33813055555555555</v>
      </c>
      <c r="S57" s="19"/>
      <c r="T57" s="29"/>
      <c r="U57" s="30"/>
      <c r="V57" s="30"/>
      <c r="W57" s="29"/>
      <c r="X57" s="30"/>
      <c r="Y57" s="31"/>
    </row>
    <row r="58" spans="1:25" ht="12.75" thickBot="1" x14ac:dyDescent="0.25">
      <c r="A58" s="23"/>
      <c r="B58" s="32"/>
      <c r="C58" s="32">
        <v>37</v>
      </c>
      <c r="D58" s="33">
        <v>214.6688</v>
      </c>
      <c r="E58" s="34">
        <v>30.4483</v>
      </c>
      <c r="F58" s="34">
        <v>37.197800000000001</v>
      </c>
      <c r="G58" s="34">
        <v>35.610100000000003</v>
      </c>
      <c r="H58" s="34">
        <v>1030.3</v>
      </c>
      <c r="I58" s="34">
        <v>1.9</v>
      </c>
      <c r="J58" s="35">
        <f t="shared" si="0"/>
        <v>0.28619444444444442</v>
      </c>
      <c r="L58" s="33">
        <v>214.6688</v>
      </c>
      <c r="M58" s="34">
        <v>30.4483</v>
      </c>
      <c r="N58" s="34">
        <v>37.197800000000001</v>
      </c>
      <c r="O58" s="34">
        <v>35.610100000000003</v>
      </c>
      <c r="P58" s="34">
        <v>1037.78</v>
      </c>
      <c r="Q58" s="34">
        <v>1.9</v>
      </c>
      <c r="R58" s="35">
        <f t="shared" si="1"/>
        <v>0.28827222222222221</v>
      </c>
      <c r="S58" s="19"/>
      <c r="T58" s="38"/>
      <c r="U58" s="39"/>
      <c r="V58" s="39"/>
      <c r="W58" s="38"/>
      <c r="X58" s="39"/>
      <c r="Y58" s="40"/>
    </row>
    <row r="59" spans="1:25" x14ac:dyDescent="0.2">
      <c r="A59" s="23"/>
      <c r="B59" s="13" t="s">
        <v>23</v>
      </c>
      <c r="C59" s="13">
        <v>22</v>
      </c>
      <c r="D59" s="14">
        <v>2739.1559999999999</v>
      </c>
      <c r="E59" s="15">
        <v>38.377899999999997</v>
      </c>
      <c r="F59" s="15">
        <v>42.725499999999997</v>
      </c>
      <c r="G59" s="15">
        <v>43.791600000000003</v>
      </c>
      <c r="H59" s="15">
        <v>1905.96</v>
      </c>
      <c r="I59" s="15">
        <v>4.5999999999999996</v>
      </c>
      <c r="J59" s="16">
        <f t="shared" si="0"/>
        <v>0.52943333333333331</v>
      </c>
      <c r="L59" s="14">
        <v>2739.1559999999999</v>
      </c>
      <c r="M59" s="15">
        <v>38.377899999999997</v>
      </c>
      <c r="N59" s="15">
        <v>42.725499999999997</v>
      </c>
      <c r="O59" s="15">
        <v>43.791600000000003</v>
      </c>
      <c r="P59" s="15">
        <v>1901.76</v>
      </c>
      <c r="Q59" s="15">
        <v>4.59</v>
      </c>
      <c r="R59" s="16">
        <f t="shared" si="1"/>
        <v>0.52826666666666666</v>
      </c>
      <c r="S59" s="19"/>
      <c r="T59" s="20">
        <f>[1]!bdrate($D59:$D62,E59:E62,$L59:$L62,M59:M62)</f>
        <v>0</v>
      </c>
      <c r="U59" s="21">
        <f>[1]!bdrate($D59:$D62,F59:F62,$L59:$L62,N59:N62)</f>
        <v>0</v>
      </c>
      <c r="V59" s="21">
        <f>[1]!bdrate($D59:$D62,G59:G62,$L59:$L62,O59:O62)</f>
        <v>0</v>
      </c>
      <c r="W59" s="41">
        <f>[1]!bdrateOld($D59:$D62,E59:E62,$L59:$L62,M59:M62)</f>
        <v>0</v>
      </c>
      <c r="X59" s="42">
        <f>[1]!bdrateOld($D59:$D62,F59:F62,$L59:$L62,N59:N62)</f>
        <v>0</v>
      </c>
      <c r="Y59" s="43">
        <f>[1]!bdrateOld($D59:$D62,G59:G62,$L59:$L62,O59:O62)</f>
        <v>0</v>
      </c>
    </row>
    <row r="60" spans="1:25" x14ac:dyDescent="0.2">
      <c r="A60" s="23"/>
      <c r="B60" s="23"/>
      <c r="C60" s="23">
        <v>27</v>
      </c>
      <c r="D60" s="24">
        <v>903.49120000000005</v>
      </c>
      <c r="E60" s="25">
        <v>34.259700000000002</v>
      </c>
      <c r="F60" s="25">
        <v>40.692599999999999</v>
      </c>
      <c r="G60" s="25">
        <v>41.626199999999997</v>
      </c>
      <c r="H60" s="25">
        <v>1332.46</v>
      </c>
      <c r="I60" s="25">
        <v>3.29</v>
      </c>
      <c r="J60" s="26">
        <f t="shared" si="0"/>
        <v>0.37012777777777778</v>
      </c>
      <c r="L60" s="24">
        <v>903.49120000000005</v>
      </c>
      <c r="M60" s="25">
        <v>34.259700000000002</v>
      </c>
      <c r="N60" s="25">
        <v>40.692599999999999</v>
      </c>
      <c r="O60" s="25">
        <v>41.626199999999997</v>
      </c>
      <c r="P60" s="25">
        <v>1329.58</v>
      </c>
      <c r="Q60" s="25">
        <v>3.24</v>
      </c>
      <c r="R60" s="26">
        <f t="shared" si="1"/>
        <v>0.36932777777777775</v>
      </c>
      <c r="S60" s="19"/>
      <c r="T60" s="29"/>
      <c r="U60" s="30"/>
      <c r="V60" s="30"/>
      <c r="W60" s="29"/>
      <c r="X60" s="30"/>
      <c r="Y60" s="31"/>
    </row>
    <row r="61" spans="1:25" x14ac:dyDescent="0.2">
      <c r="A61" s="23"/>
      <c r="B61" s="23"/>
      <c r="C61" s="23">
        <v>32</v>
      </c>
      <c r="D61" s="24">
        <v>336.39440000000002</v>
      </c>
      <c r="E61" s="25">
        <v>31.1875</v>
      </c>
      <c r="F61" s="25">
        <v>39.301400000000001</v>
      </c>
      <c r="G61" s="25">
        <v>40.0822</v>
      </c>
      <c r="H61" s="25">
        <v>992.4</v>
      </c>
      <c r="I61" s="25">
        <v>2.2799999999999998</v>
      </c>
      <c r="J61" s="26">
        <f t="shared" si="0"/>
        <v>0.27566666666666667</v>
      </c>
      <c r="L61" s="24">
        <v>336.39440000000002</v>
      </c>
      <c r="M61" s="25">
        <v>31.1875</v>
      </c>
      <c r="N61" s="25">
        <v>39.301400000000001</v>
      </c>
      <c r="O61" s="25">
        <v>40.0822</v>
      </c>
      <c r="P61" s="25">
        <v>986.68</v>
      </c>
      <c r="Q61" s="25">
        <v>2.38</v>
      </c>
      <c r="R61" s="26">
        <f t="shared" si="1"/>
        <v>0.27407777777777775</v>
      </c>
      <c r="S61" s="19"/>
      <c r="T61" s="29"/>
      <c r="U61" s="30"/>
      <c r="V61" s="30"/>
      <c r="W61" s="29"/>
      <c r="X61" s="30"/>
      <c r="Y61" s="31"/>
    </row>
    <row r="62" spans="1:25" ht="12.75" thickBot="1" x14ac:dyDescent="0.25">
      <c r="A62" s="23"/>
      <c r="B62" s="32"/>
      <c r="C62" s="32">
        <v>37</v>
      </c>
      <c r="D62" s="33">
        <v>129.9504</v>
      </c>
      <c r="E62" s="34">
        <v>28.195900000000002</v>
      </c>
      <c r="F62" s="34">
        <v>38.256100000000004</v>
      </c>
      <c r="G62" s="34">
        <v>39.075299999999999</v>
      </c>
      <c r="H62" s="34">
        <v>825.34</v>
      </c>
      <c r="I62" s="34">
        <v>1.97</v>
      </c>
      <c r="J62" s="35">
        <f t="shared" si="0"/>
        <v>0.22926111111111111</v>
      </c>
      <c r="L62" s="33">
        <v>129.9504</v>
      </c>
      <c r="M62" s="34">
        <v>28.195900000000002</v>
      </c>
      <c r="N62" s="34">
        <v>38.256100000000004</v>
      </c>
      <c r="O62" s="34">
        <v>39.075299999999999</v>
      </c>
      <c r="P62" s="34">
        <v>823.59</v>
      </c>
      <c r="Q62" s="34">
        <v>1.97</v>
      </c>
      <c r="R62" s="35">
        <f t="shared" si="1"/>
        <v>0.22877500000000001</v>
      </c>
      <c r="S62" s="19"/>
      <c r="T62" s="38"/>
      <c r="U62" s="39"/>
      <c r="V62" s="39"/>
      <c r="W62" s="38"/>
      <c r="X62" s="39"/>
      <c r="Y62" s="40"/>
    </row>
    <row r="63" spans="1:25" x14ac:dyDescent="0.2">
      <c r="A63" s="23"/>
      <c r="B63" s="13" t="s">
        <v>24</v>
      </c>
      <c r="C63" s="13">
        <v>22</v>
      </c>
      <c r="D63" s="14">
        <v>2131.1071999999999</v>
      </c>
      <c r="E63" s="15">
        <v>38.063000000000002</v>
      </c>
      <c r="F63" s="15">
        <v>40.821599999999997</v>
      </c>
      <c r="G63" s="15">
        <v>41.588700000000003</v>
      </c>
      <c r="H63" s="15">
        <v>1631.62</v>
      </c>
      <c r="I63" s="15">
        <v>3.69</v>
      </c>
      <c r="J63" s="16">
        <f t="shared" si="0"/>
        <v>0.45322777777777773</v>
      </c>
      <c r="L63" s="14">
        <v>2131.1071999999999</v>
      </c>
      <c r="M63" s="15">
        <v>38.063000000000002</v>
      </c>
      <c r="N63" s="15">
        <v>40.821599999999997</v>
      </c>
      <c r="O63" s="15">
        <v>41.588700000000003</v>
      </c>
      <c r="P63" s="15">
        <v>1629.07</v>
      </c>
      <c r="Q63" s="15">
        <v>3.75</v>
      </c>
      <c r="R63" s="16">
        <f t="shared" si="1"/>
        <v>0.45251944444444442</v>
      </c>
      <c r="S63" s="19"/>
      <c r="T63" s="20">
        <f>[1]!bdrate($D63:$D66,E63:E66,$L63:$L66,M63:M66)</f>
        <v>0</v>
      </c>
      <c r="U63" s="21">
        <f>[1]!bdrate($D63:$D66,F63:F66,$L63:$L66,N63:N66)</f>
        <v>0</v>
      </c>
      <c r="V63" s="21">
        <f>[1]!bdrate($D63:$D66,G63:G66,$L63:$L66,O63:O66)</f>
        <v>0</v>
      </c>
      <c r="W63" s="41">
        <f>[1]!bdrateOld($D63:$D66,E63:E66,$L63:$L66,M63:M66)</f>
        <v>0</v>
      </c>
      <c r="X63" s="42">
        <f>[1]!bdrateOld($D63:$D66,F63:F66,$L63:$L66,N63:N66)</f>
        <v>0</v>
      </c>
      <c r="Y63" s="43">
        <f>[1]!bdrateOld($D63:$D66,G63:G66,$L63:$L66,O63:O66)</f>
        <v>0</v>
      </c>
    </row>
    <row r="64" spans="1:25" x14ac:dyDescent="0.2">
      <c r="A64" s="23"/>
      <c r="B64" s="23"/>
      <c r="C64" s="23">
        <v>27</v>
      </c>
      <c r="D64" s="24">
        <v>858.9248</v>
      </c>
      <c r="E64" s="25">
        <v>34.276000000000003</v>
      </c>
      <c r="F64" s="25">
        <v>37.994700000000002</v>
      </c>
      <c r="G64" s="25">
        <v>38.626100000000001</v>
      </c>
      <c r="H64" s="25">
        <v>1182.83</v>
      </c>
      <c r="I64" s="25">
        <v>2.7</v>
      </c>
      <c r="J64" s="26">
        <f t="shared" si="0"/>
        <v>0.32856388888888888</v>
      </c>
      <c r="L64" s="24">
        <v>858.9248</v>
      </c>
      <c r="M64" s="25">
        <v>34.276000000000003</v>
      </c>
      <c r="N64" s="25">
        <v>37.994700000000002</v>
      </c>
      <c r="O64" s="25">
        <v>38.626100000000001</v>
      </c>
      <c r="P64" s="25">
        <v>1182.3399999999999</v>
      </c>
      <c r="Q64" s="25">
        <v>2.71</v>
      </c>
      <c r="R64" s="26">
        <f t="shared" si="1"/>
        <v>0.32842777777777776</v>
      </c>
      <c r="S64" s="19"/>
      <c r="T64" s="29"/>
      <c r="U64" s="30"/>
      <c r="V64" s="30"/>
      <c r="W64" s="29"/>
      <c r="X64" s="30"/>
      <c r="Y64" s="31"/>
    </row>
    <row r="65" spans="1:25" x14ac:dyDescent="0.2">
      <c r="A65" s="23"/>
      <c r="B65" s="23"/>
      <c r="C65" s="23">
        <v>32</v>
      </c>
      <c r="D65" s="24">
        <v>360.11439999999999</v>
      </c>
      <c r="E65" s="25">
        <v>30.828700000000001</v>
      </c>
      <c r="F65" s="25">
        <v>35.8658</v>
      </c>
      <c r="G65" s="25">
        <v>36.507100000000001</v>
      </c>
      <c r="H65" s="25">
        <v>919.67</v>
      </c>
      <c r="I65" s="25">
        <v>2.0699999999999998</v>
      </c>
      <c r="J65" s="26">
        <f t="shared" si="0"/>
        <v>0.25546388888888888</v>
      </c>
      <c r="L65" s="24">
        <v>360.11439999999999</v>
      </c>
      <c r="M65" s="25">
        <v>30.828700000000001</v>
      </c>
      <c r="N65" s="25">
        <v>35.8658</v>
      </c>
      <c r="O65" s="25">
        <v>36.507100000000001</v>
      </c>
      <c r="P65" s="25">
        <v>924.01</v>
      </c>
      <c r="Q65" s="25">
        <v>2.09</v>
      </c>
      <c r="R65" s="26">
        <f t="shared" si="1"/>
        <v>0.25666944444444445</v>
      </c>
      <c r="S65" s="19"/>
      <c r="T65" s="29"/>
      <c r="U65" s="30"/>
      <c r="V65" s="30"/>
      <c r="W65" s="29"/>
      <c r="X65" s="30"/>
      <c r="Y65" s="31"/>
    </row>
    <row r="66" spans="1:25" ht="12.75" thickBot="1" x14ac:dyDescent="0.25">
      <c r="A66" s="23"/>
      <c r="B66" s="32"/>
      <c r="C66" s="32">
        <v>37</v>
      </c>
      <c r="D66" s="33">
        <v>151.43520000000001</v>
      </c>
      <c r="E66" s="34">
        <v>27.777100000000001</v>
      </c>
      <c r="F66" s="34">
        <v>34.392200000000003</v>
      </c>
      <c r="G66" s="34">
        <v>35.061500000000002</v>
      </c>
      <c r="H66" s="34">
        <v>760.68</v>
      </c>
      <c r="I66" s="34">
        <v>1.71</v>
      </c>
      <c r="J66" s="35">
        <f t="shared" si="0"/>
        <v>0.21129999999999999</v>
      </c>
      <c r="L66" s="33">
        <v>151.43520000000001</v>
      </c>
      <c r="M66" s="34">
        <v>27.777100000000001</v>
      </c>
      <c r="N66" s="34">
        <v>34.392200000000003</v>
      </c>
      <c r="O66" s="34">
        <v>35.061500000000002</v>
      </c>
      <c r="P66" s="34">
        <v>754.45</v>
      </c>
      <c r="Q66" s="34">
        <v>1.68</v>
      </c>
      <c r="R66" s="35">
        <f t="shared" si="1"/>
        <v>0.20956944444444445</v>
      </c>
      <c r="S66" s="19"/>
      <c r="T66" s="38"/>
      <c r="U66" s="39"/>
      <c r="V66" s="39"/>
      <c r="W66" s="38"/>
      <c r="X66" s="39"/>
      <c r="Y66" s="40"/>
    </row>
    <row r="67" spans="1:25" x14ac:dyDescent="0.2">
      <c r="A67" s="23"/>
      <c r="B67" s="13" t="s">
        <v>19</v>
      </c>
      <c r="C67" s="13">
        <v>22</v>
      </c>
      <c r="D67" s="14">
        <v>1366.6456000000001</v>
      </c>
      <c r="E67" s="15">
        <v>39.850299999999997</v>
      </c>
      <c r="F67" s="15">
        <v>41.216000000000001</v>
      </c>
      <c r="G67" s="15">
        <v>42.300899999999999</v>
      </c>
      <c r="H67" s="15">
        <v>1321.36</v>
      </c>
      <c r="I67" s="15">
        <v>2.4500000000000002</v>
      </c>
      <c r="J67" s="16">
        <f t="shared" si="0"/>
        <v>0.3670444444444444</v>
      </c>
      <c r="L67" s="14">
        <v>1366.6456000000001</v>
      </c>
      <c r="M67" s="15">
        <v>39.850299999999997</v>
      </c>
      <c r="N67" s="15">
        <v>41.216000000000001</v>
      </c>
      <c r="O67" s="15">
        <v>42.300899999999999</v>
      </c>
      <c r="P67" s="15">
        <v>1315.08</v>
      </c>
      <c r="Q67" s="15">
        <v>2.4500000000000002</v>
      </c>
      <c r="R67" s="16">
        <f t="shared" si="1"/>
        <v>0.36529999999999996</v>
      </c>
      <c r="S67" s="19"/>
      <c r="T67" s="20">
        <f>[1]!bdrate($D67:$D70,E67:E70,$L67:$L70,M67:M70)</f>
        <v>0</v>
      </c>
      <c r="U67" s="21">
        <f>[1]!bdrate($D67:$D70,F67:F70,$L67:$L70,N67:N70)</f>
        <v>0</v>
      </c>
      <c r="V67" s="21">
        <f>[1]!bdrate($D67:$D70,G67:G70,$L67:$L70,O67:O70)</f>
        <v>0</v>
      </c>
      <c r="W67" s="41">
        <f>[1]!bdrateOld($D67:$D70,E67:E70,$L67:$L70,M67:M70)</f>
        <v>0</v>
      </c>
      <c r="X67" s="42">
        <f>[1]!bdrateOld($D67:$D70,F67:F70,$L67:$L70,N67:N70)</f>
        <v>0</v>
      </c>
      <c r="Y67" s="43">
        <f>[1]!bdrateOld($D67:$D70,G67:G70,$L67:$L70,O67:O70)</f>
        <v>0</v>
      </c>
    </row>
    <row r="68" spans="1:25" x14ac:dyDescent="0.2">
      <c r="A68" s="23"/>
      <c r="B68" s="23"/>
      <c r="C68" s="23">
        <v>27</v>
      </c>
      <c r="D68" s="24">
        <v>642.04</v>
      </c>
      <c r="E68" s="25">
        <v>35.781199999999998</v>
      </c>
      <c r="F68" s="25">
        <v>38.267499999999998</v>
      </c>
      <c r="G68" s="25">
        <v>39.478200000000001</v>
      </c>
      <c r="H68" s="25">
        <v>1076.6600000000001</v>
      </c>
      <c r="I68" s="25">
        <v>1.87</v>
      </c>
      <c r="J68" s="26">
        <f t="shared" si="0"/>
        <v>0.29907222222222224</v>
      </c>
      <c r="L68" s="24">
        <v>642.04</v>
      </c>
      <c r="M68" s="25">
        <v>35.781199999999998</v>
      </c>
      <c r="N68" s="25">
        <v>38.267499999999998</v>
      </c>
      <c r="O68" s="25">
        <v>39.478200000000001</v>
      </c>
      <c r="P68" s="25">
        <v>1074.95</v>
      </c>
      <c r="Q68" s="25">
        <v>1.92</v>
      </c>
      <c r="R68" s="26">
        <f t="shared" si="1"/>
        <v>0.29859722222222224</v>
      </c>
      <c r="S68" s="19"/>
      <c r="T68" s="29"/>
      <c r="U68" s="30"/>
      <c r="V68" s="30"/>
      <c r="W68" s="29"/>
      <c r="X68" s="30"/>
      <c r="Y68" s="31"/>
    </row>
    <row r="69" spans="1:25" x14ac:dyDescent="0.2">
      <c r="A69" s="23"/>
      <c r="B69" s="23"/>
      <c r="C69" s="23">
        <v>32</v>
      </c>
      <c r="D69" s="24">
        <v>300.70400000000001</v>
      </c>
      <c r="E69" s="25">
        <v>32.173000000000002</v>
      </c>
      <c r="F69" s="25">
        <v>36.168999999999997</v>
      </c>
      <c r="G69" s="25">
        <v>37.341200000000001</v>
      </c>
      <c r="H69" s="25">
        <v>873.17</v>
      </c>
      <c r="I69" s="25">
        <v>1.53</v>
      </c>
      <c r="J69" s="26">
        <f t="shared" si="0"/>
        <v>0.24254722222222222</v>
      </c>
      <c r="L69" s="24">
        <v>300.70400000000001</v>
      </c>
      <c r="M69" s="25">
        <v>32.173000000000002</v>
      </c>
      <c r="N69" s="25">
        <v>36.168999999999997</v>
      </c>
      <c r="O69" s="25">
        <v>37.341200000000001</v>
      </c>
      <c r="P69" s="25">
        <v>866.01</v>
      </c>
      <c r="Q69" s="25">
        <v>1.53</v>
      </c>
      <c r="R69" s="26">
        <f t="shared" si="1"/>
        <v>0.24055833333333332</v>
      </c>
      <c r="S69" s="19"/>
      <c r="T69" s="29"/>
      <c r="U69" s="30"/>
      <c r="V69" s="30"/>
      <c r="W69" s="29"/>
      <c r="X69" s="30"/>
      <c r="Y69" s="31"/>
    </row>
    <row r="70" spans="1:25" ht="12.75" thickBot="1" x14ac:dyDescent="0.25">
      <c r="A70" s="32"/>
      <c r="B70" s="32"/>
      <c r="C70" s="32">
        <v>37</v>
      </c>
      <c r="D70" s="33">
        <v>144.59280000000001</v>
      </c>
      <c r="E70" s="34">
        <v>29.3062</v>
      </c>
      <c r="F70" s="34">
        <v>34.843699999999998</v>
      </c>
      <c r="G70" s="34">
        <v>35.929600000000001</v>
      </c>
      <c r="H70" s="34">
        <v>708.2</v>
      </c>
      <c r="I70" s="34">
        <v>1.24</v>
      </c>
      <c r="J70" s="35">
        <f t="shared" si="0"/>
        <v>0.19672222222222224</v>
      </c>
      <c r="L70" s="33">
        <v>144.59280000000001</v>
      </c>
      <c r="M70" s="34">
        <v>29.3062</v>
      </c>
      <c r="N70" s="34">
        <v>34.843699999999998</v>
      </c>
      <c r="O70" s="34">
        <v>35.929600000000001</v>
      </c>
      <c r="P70" s="34">
        <v>704.46</v>
      </c>
      <c r="Q70" s="34">
        <v>1.25</v>
      </c>
      <c r="R70" s="35">
        <f t="shared" si="1"/>
        <v>0.19568333333333335</v>
      </c>
      <c r="S70" s="19"/>
      <c r="T70" s="38"/>
      <c r="U70" s="39"/>
      <c r="V70" s="39"/>
      <c r="W70" s="38"/>
      <c r="X70" s="39"/>
      <c r="Y70" s="40"/>
    </row>
    <row r="71" spans="1:25" x14ac:dyDescent="0.2">
      <c r="A71" s="13" t="s">
        <v>25</v>
      </c>
      <c r="B71" s="13" t="s">
        <v>81</v>
      </c>
      <c r="C71" s="13">
        <v>22</v>
      </c>
      <c r="D71" s="14">
        <v>2383.1768000000002</v>
      </c>
      <c r="E71" s="15">
        <v>42.555199999999999</v>
      </c>
      <c r="F71" s="15">
        <v>46.463999999999999</v>
      </c>
      <c r="G71" s="15">
        <v>47.762099999999997</v>
      </c>
      <c r="H71" s="15">
        <v>8858.2900000000009</v>
      </c>
      <c r="I71" s="15">
        <v>17.09</v>
      </c>
      <c r="J71" s="16">
        <f t="shared" si="0"/>
        <v>2.4606361111111115</v>
      </c>
      <c r="L71" s="14">
        <v>2383.1768000000002</v>
      </c>
      <c r="M71" s="15">
        <v>42.555199999999999</v>
      </c>
      <c r="N71" s="15">
        <v>46.463999999999999</v>
      </c>
      <c r="O71" s="15">
        <v>47.762099999999997</v>
      </c>
      <c r="P71" s="15">
        <v>8851.4</v>
      </c>
      <c r="Q71" s="15">
        <v>17.440000000000001</v>
      </c>
      <c r="R71" s="16">
        <f t="shared" si="1"/>
        <v>2.4587222222222223</v>
      </c>
      <c r="S71" s="19"/>
      <c r="T71" s="20">
        <f>[1]!bdrate($D71:$D74,E71:E74,$L71:$L74,M71:M74)</f>
        <v>0</v>
      </c>
      <c r="U71" s="21">
        <f>[1]!bdrate($D71:$D74,F71:F74,$L71:$L74,N71:N74)</f>
        <v>0</v>
      </c>
      <c r="V71" s="21">
        <f>[1]!bdrate($D71:$D74,G71:G74,$L71:$L74,O71:O74)</f>
        <v>0</v>
      </c>
      <c r="W71" s="41">
        <f>[1]!bdrateOld($D71:$D74,E71:E74,$L71:$L74,M71:M74)</f>
        <v>0</v>
      </c>
      <c r="X71" s="42">
        <f>[1]!bdrateOld($D71:$D74,F71:F74,$L71:$L74,N71:N74)</f>
        <v>0</v>
      </c>
      <c r="Y71" s="43">
        <f>[1]!bdrateOld($D71:$D74,G71:G74,$L71:$L74,O71:O74)</f>
        <v>0</v>
      </c>
    </row>
    <row r="72" spans="1:25" x14ac:dyDescent="0.2">
      <c r="A72" s="23" t="s">
        <v>26</v>
      </c>
      <c r="B72" s="23"/>
      <c r="C72" s="23">
        <v>27</v>
      </c>
      <c r="D72" s="24">
        <v>888.49919999999997</v>
      </c>
      <c r="E72" s="25">
        <v>40.223999999999997</v>
      </c>
      <c r="F72" s="25">
        <v>44.302700000000002</v>
      </c>
      <c r="G72" s="25">
        <v>45.610500000000002</v>
      </c>
      <c r="H72" s="25">
        <v>7394.78</v>
      </c>
      <c r="I72" s="25">
        <v>14.2</v>
      </c>
      <c r="J72" s="26">
        <f t="shared" si="0"/>
        <v>2.0541055555555556</v>
      </c>
      <c r="L72" s="24">
        <v>888.49919999999997</v>
      </c>
      <c r="M72" s="25">
        <v>40.223999999999997</v>
      </c>
      <c r="N72" s="25">
        <v>44.302700000000002</v>
      </c>
      <c r="O72" s="25">
        <v>45.610500000000002</v>
      </c>
      <c r="P72" s="25">
        <v>7381.01</v>
      </c>
      <c r="Q72" s="25">
        <v>14.09</v>
      </c>
      <c r="R72" s="26">
        <f t="shared" si="1"/>
        <v>2.0502805555555557</v>
      </c>
      <c r="S72" s="19"/>
      <c r="T72" s="29"/>
      <c r="U72" s="30"/>
      <c r="V72" s="30"/>
      <c r="W72" s="29"/>
      <c r="X72" s="30"/>
      <c r="Y72" s="31"/>
    </row>
    <row r="73" spans="1:25" x14ac:dyDescent="0.2">
      <c r="A73" s="23"/>
      <c r="B73" s="23"/>
      <c r="C73" s="23">
        <v>32</v>
      </c>
      <c r="D73" s="24">
        <v>432.26080000000002</v>
      </c>
      <c r="E73" s="25">
        <v>37.521000000000001</v>
      </c>
      <c r="F73" s="25">
        <v>42.478900000000003</v>
      </c>
      <c r="G73" s="25">
        <v>43.655299999999997</v>
      </c>
      <c r="H73" s="25">
        <v>6727.89</v>
      </c>
      <c r="I73" s="25">
        <v>13.27</v>
      </c>
      <c r="J73" s="26">
        <f t="shared" si="0"/>
        <v>1.8688583333333335</v>
      </c>
      <c r="L73" s="24">
        <v>432.26080000000002</v>
      </c>
      <c r="M73" s="25">
        <v>37.521000000000001</v>
      </c>
      <c r="N73" s="25">
        <v>42.478900000000003</v>
      </c>
      <c r="O73" s="25">
        <v>43.655299999999997</v>
      </c>
      <c r="P73" s="25">
        <v>6703.01</v>
      </c>
      <c r="Q73" s="25">
        <v>12.9</v>
      </c>
      <c r="R73" s="26">
        <f t="shared" si="1"/>
        <v>1.8619472222222222</v>
      </c>
      <c r="S73" s="19"/>
      <c r="T73" s="29"/>
      <c r="U73" s="30"/>
      <c r="V73" s="30"/>
      <c r="W73" s="29"/>
      <c r="X73" s="30"/>
      <c r="Y73" s="31"/>
    </row>
    <row r="74" spans="1:25" ht="12.75" thickBot="1" x14ac:dyDescent="0.25">
      <c r="A74" s="23"/>
      <c r="B74" s="32"/>
      <c r="C74" s="32">
        <v>37</v>
      </c>
      <c r="D74" s="33">
        <v>225.44159999999999</v>
      </c>
      <c r="E74" s="34">
        <v>34.557200000000002</v>
      </c>
      <c r="F74" s="34">
        <v>41.208399999999997</v>
      </c>
      <c r="G74" s="34">
        <v>42.267400000000002</v>
      </c>
      <c r="H74" s="34">
        <v>6359.57</v>
      </c>
      <c r="I74" s="34">
        <v>12.46</v>
      </c>
      <c r="J74" s="35">
        <f t="shared" si="0"/>
        <v>1.766547222222222</v>
      </c>
      <c r="L74" s="33">
        <v>225.44159999999999</v>
      </c>
      <c r="M74" s="34">
        <v>34.557200000000002</v>
      </c>
      <c r="N74" s="34">
        <v>41.208399999999997</v>
      </c>
      <c r="O74" s="34">
        <v>42.267400000000002</v>
      </c>
      <c r="P74" s="34">
        <v>6341.12</v>
      </c>
      <c r="Q74" s="34">
        <v>12.19</v>
      </c>
      <c r="R74" s="35">
        <f t="shared" si="1"/>
        <v>1.7614222222222222</v>
      </c>
      <c r="S74" s="19"/>
      <c r="T74" s="38"/>
      <c r="U74" s="39"/>
      <c r="V74" s="39"/>
      <c r="W74" s="38"/>
      <c r="X74" s="39"/>
      <c r="Y74" s="40"/>
    </row>
    <row r="75" spans="1:25" x14ac:dyDescent="0.2">
      <c r="A75" s="23"/>
      <c r="B75" s="13" t="s">
        <v>82</v>
      </c>
      <c r="C75" s="13">
        <v>22</v>
      </c>
      <c r="D75" s="14">
        <v>1807.2496000000001</v>
      </c>
      <c r="E75" s="15">
        <v>42.93</v>
      </c>
      <c r="F75" s="15">
        <v>48.0944</v>
      </c>
      <c r="G75" s="15">
        <v>48.8399</v>
      </c>
      <c r="H75" s="15">
        <v>8191.27</v>
      </c>
      <c r="I75" s="15">
        <v>16.73</v>
      </c>
      <c r="J75" s="16">
        <f t="shared" si="0"/>
        <v>2.275352777777778</v>
      </c>
      <c r="L75" s="14">
        <v>1807.2496000000001</v>
      </c>
      <c r="M75" s="15">
        <v>42.93</v>
      </c>
      <c r="N75" s="15">
        <v>48.0944</v>
      </c>
      <c r="O75" s="15">
        <v>48.8399</v>
      </c>
      <c r="P75" s="15">
        <v>8207.68</v>
      </c>
      <c r="Q75" s="15">
        <v>16.3</v>
      </c>
      <c r="R75" s="16">
        <f t="shared" si="1"/>
        <v>2.2799111111111112</v>
      </c>
      <c r="S75" s="19"/>
      <c r="T75" s="20">
        <f>[1]!bdrate($D75:$D78,E75:E78,$L75:$L78,M75:M78)</f>
        <v>0</v>
      </c>
      <c r="U75" s="21">
        <f>[1]!bdrate($D75:$D78,F75:F78,$L75:$L78,N75:N78)</f>
        <v>0</v>
      </c>
      <c r="V75" s="21">
        <f>[1]!bdrate($D75:$D78,G75:G78,$L75:$L78,O75:O78)</f>
        <v>0</v>
      </c>
      <c r="W75" s="41">
        <f>[1]!bdrateOld($D75:$D78,E75:E78,$L75:$L78,M75:M78)</f>
        <v>0</v>
      </c>
      <c r="X75" s="42">
        <f>[1]!bdrateOld($D75:$D78,F75:F78,$L75:$L78,N75:N78)</f>
        <v>0</v>
      </c>
      <c r="Y75" s="43">
        <f>[1]!bdrateOld($D75:$D78,G75:G78,$L75:$L78,O75:O78)</f>
        <v>0</v>
      </c>
    </row>
    <row r="76" spans="1:25" x14ac:dyDescent="0.2">
      <c r="A76" s="23"/>
      <c r="B76" s="23"/>
      <c r="C76" s="23">
        <v>27</v>
      </c>
      <c r="D76" s="24">
        <v>447.22399999999999</v>
      </c>
      <c r="E76" s="25">
        <v>41.099299999999999</v>
      </c>
      <c r="F76" s="25">
        <v>46.258899999999997</v>
      </c>
      <c r="G76" s="25">
        <v>46.924399999999999</v>
      </c>
      <c r="H76" s="25">
        <v>6693.32</v>
      </c>
      <c r="I76" s="25">
        <v>13.33</v>
      </c>
      <c r="J76" s="26">
        <f t="shared" si="0"/>
        <v>1.8592555555555554</v>
      </c>
      <c r="L76" s="24">
        <v>447.22399999999999</v>
      </c>
      <c r="M76" s="25">
        <v>41.099299999999999</v>
      </c>
      <c r="N76" s="25">
        <v>46.258899999999997</v>
      </c>
      <c r="O76" s="25">
        <v>46.924399999999999</v>
      </c>
      <c r="P76" s="25">
        <v>6734.25</v>
      </c>
      <c r="Q76" s="25">
        <v>13.26</v>
      </c>
      <c r="R76" s="26">
        <f t="shared" si="1"/>
        <v>1.870625</v>
      </c>
      <c r="S76" s="19"/>
      <c r="T76" s="29"/>
      <c r="U76" s="30"/>
      <c r="V76" s="30"/>
      <c r="W76" s="29"/>
      <c r="X76" s="30"/>
      <c r="Y76" s="31"/>
    </row>
    <row r="77" spans="1:25" x14ac:dyDescent="0.2">
      <c r="A77" s="23"/>
      <c r="B77" s="23"/>
      <c r="C77" s="23">
        <v>32</v>
      </c>
      <c r="D77" s="24">
        <v>187.36879999999999</v>
      </c>
      <c r="E77" s="25">
        <v>38.893099999999997</v>
      </c>
      <c r="F77" s="25">
        <v>44.535699999999999</v>
      </c>
      <c r="G77" s="25">
        <v>45.060099999999998</v>
      </c>
      <c r="H77" s="25">
        <v>6315.94</v>
      </c>
      <c r="I77" s="25">
        <v>12.33</v>
      </c>
      <c r="J77" s="26">
        <f t="shared" si="0"/>
        <v>1.7544277777777777</v>
      </c>
      <c r="L77" s="24">
        <v>187.36879999999999</v>
      </c>
      <c r="M77" s="25">
        <v>38.893099999999997</v>
      </c>
      <c r="N77" s="25">
        <v>44.535699999999999</v>
      </c>
      <c r="O77" s="25">
        <v>45.060099999999998</v>
      </c>
      <c r="P77" s="25">
        <v>6250.62</v>
      </c>
      <c r="Q77" s="25">
        <v>12.33</v>
      </c>
      <c r="R77" s="26">
        <f t="shared" si="1"/>
        <v>1.7362833333333334</v>
      </c>
      <c r="S77" s="19"/>
      <c r="T77" s="29"/>
      <c r="U77" s="30"/>
      <c r="V77" s="30"/>
      <c r="W77" s="29"/>
      <c r="X77" s="30"/>
      <c r="Y77" s="31"/>
    </row>
    <row r="78" spans="1:25" ht="12.75" thickBot="1" x14ac:dyDescent="0.25">
      <c r="A78" s="23"/>
      <c r="B78" s="32"/>
      <c r="C78" s="32">
        <v>37</v>
      </c>
      <c r="D78" s="33">
        <v>97.119200000000006</v>
      </c>
      <c r="E78" s="34">
        <v>36.398699999999998</v>
      </c>
      <c r="F78" s="34">
        <v>43.113999999999997</v>
      </c>
      <c r="G78" s="34">
        <v>43.6584</v>
      </c>
      <c r="H78" s="34">
        <v>6024.95</v>
      </c>
      <c r="I78" s="34">
        <v>12.13</v>
      </c>
      <c r="J78" s="35">
        <f t="shared" si="0"/>
        <v>1.6735972222222222</v>
      </c>
      <c r="L78" s="33">
        <v>97.119200000000006</v>
      </c>
      <c r="M78" s="34">
        <v>36.398699999999998</v>
      </c>
      <c r="N78" s="34">
        <v>43.113999999999997</v>
      </c>
      <c r="O78" s="34">
        <v>43.6584</v>
      </c>
      <c r="P78" s="34">
        <v>5956.7</v>
      </c>
      <c r="Q78" s="34">
        <v>11.71</v>
      </c>
      <c r="R78" s="35">
        <f t="shared" si="1"/>
        <v>1.6546388888888888</v>
      </c>
      <c r="S78" s="19"/>
      <c r="T78" s="38"/>
      <c r="U78" s="39"/>
      <c r="V78" s="39"/>
      <c r="W78" s="38"/>
      <c r="X78" s="39"/>
      <c r="Y78" s="40"/>
    </row>
    <row r="79" spans="1:25" x14ac:dyDescent="0.2">
      <c r="A79" s="23"/>
      <c r="B79" s="13" t="s">
        <v>83</v>
      </c>
      <c r="C79" s="13">
        <v>22</v>
      </c>
      <c r="D79" s="14">
        <v>2113.2368000000001</v>
      </c>
      <c r="E79" s="15">
        <v>43.285200000000003</v>
      </c>
      <c r="F79" s="15">
        <v>47.2395</v>
      </c>
      <c r="G79" s="15">
        <v>48.234000000000002</v>
      </c>
      <c r="H79" s="15">
        <v>9241.23</v>
      </c>
      <c r="I79" s="15">
        <v>17.36</v>
      </c>
      <c r="J79" s="16">
        <f t="shared" si="0"/>
        <v>2.5670083333333333</v>
      </c>
      <c r="L79" s="14">
        <v>2113.2368000000001</v>
      </c>
      <c r="M79" s="15">
        <v>43.285200000000003</v>
      </c>
      <c r="N79" s="15">
        <v>47.2395</v>
      </c>
      <c r="O79" s="15">
        <v>48.234000000000002</v>
      </c>
      <c r="P79" s="15">
        <v>9181.17</v>
      </c>
      <c r="Q79" s="15">
        <v>17.84</v>
      </c>
      <c r="R79" s="16">
        <f t="shared" si="1"/>
        <v>2.550325</v>
      </c>
      <c r="S79" s="19"/>
      <c r="T79" s="20">
        <f>[1]!bdrate($D79:$D82,E79:E82,$L79:$L82,M79:M82)</f>
        <v>0</v>
      </c>
      <c r="U79" s="21">
        <f>[1]!bdrate($D79:$D82,F79:F82,$L79:$L82,N79:N82)</f>
        <v>0</v>
      </c>
      <c r="V79" s="21">
        <f>[1]!bdrate($D79:$D82,G79:G82,$L79:$L82,O79:O82)</f>
        <v>0</v>
      </c>
      <c r="W79" s="41">
        <f>[1]!bdrateOld($D79:$D82,E79:E82,$L79:$L82,M79:M82)</f>
        <v>0</v>
      </c>
      <c r="X79" s="42">
        <f>[1]!bdrateOld($D79:$D82,F79:F82,$L79:$L82,N79:N82)</f>
        <v>0</v>
      </c>
      <c r="Y79" s="43">
        <f>[1]!bdrateOld($D79:$D82,G79:G82,$L79:$L82,O79:O82)</f>
        <v>0</v>
      </c>
    </row>
    <row r="80" spans="1:25" x14ac:dyDescent="0.2">
      <c r="A80" s="23"/>
      <c r="B80" s="23"/>
      <c r="C80" s="23">
        <v>27</v>
      </c>
      <c r="D80" s="24">
        <v>717.78399999999999</v>
      </c>
      <c r="E80" s="25">
        <v>41.0884</v>
      </c>
      <c r="F80" s="25">
        <v>45.192500000000003</v>
      </c>
      <c r="G80" s="25">
        <v>46.1462</v>
      </c>
      <c r="H80" s="25">
        <v>7730.62</v>
      </c>
      <c r="I80" s="25">
        <v>14.85</v>
      </c>
      <c r="J80" s="26">
        <f t="shared" si="0"/>
        <v>2.1473944444444446</v>
      </c>
      <c r="L80" s="24">
        <v>717.78399999999999</v>
      </c>
      <c r="M80" s="25">
        <v>41.0884</v>
      </c>
      <c r="N80" s="25">
        <v>45.192500000000003</v>
      </c>
      <c r="O80" s="25">
        <v>46.1462</v>
      </c>
      <c r="P80" s="25">
        <v>7700.74</v>
      </c>
      <c r="Q80" s="25">
        <v>14.71</v>
      </c>
      <c r="R80" s="26">
        <f t="shared" si="1"/>
        <v>2.1390944444444444</v>
      </c>
      <c r="S80" s="19"/>
      <c r="T80" s="29"/>
      <c r="U80" s="30"/>
      <c r="V80" s="30"/>
      <c r="W80" s="29"/>
      <c r="X80" s="30"/>
      <c r="Y80" s="31"/>
    </row>
    <row r="81" spans="1:25" x14ac:dyDescent="0.2">
      <c r="A81" s="23"/>
      <c r="B81" s="23"/>
      <c r="C81" s="23">
        <v>32</v>
      </c>
      <c r="D81" s="24">
        <v>323.00240000000002</v>
      </c>
      <c r="E81" s="25">
        <v>38.614800000000002</v>
      </c>
      <c r="F81" s="25">
        <v>43.381399999999999</v>
      </c>
      <c r="G81" s="25">
        <v>44.268999999999998</v>
      </c>
      <c r="H81" s="25">
        <v>6990.62</v>
      </c>
      <c r="I81" s="25">
        <v>13.48</v>
      </c>
      <c r="J81" s="26">
        <f t="shared" si="0"/>
        <v>1.9418388888888889</v>
      </c>
      <c r="L81" s="24">
        <v>323.00240000000002</v>
      </c>
      <c r="M81" s="25">
        <v>38.614800000000002</v>
      </c>
      <c r="N81" s="25">
        <v>43.381399999999999</v>
      </c>
      <c r="O81" s="25">
        <v>44.268999999999998</v>
      </c>
      <c r="P81" s="25">
        <v>6949.22</v>
      </c>
      <c r="Q81" s="25">
        <v>13.5</v>
      </c>
      <c r="R81" s="26">
        <f t="shared" si="1"/>
        <v>1.930338888888889</v>
      </c>
      <c r="S81" s="19"/>
      <c r="T81" s="29"/>
      <c r="U81" s="30"/>
      <c r="V81" s="30"/>
      <c r="W81" s="29"/>
      <c r="X81" s="30"/>
      <c r="Y81" s="31"/>
    </row>
    <row r="82" spans="1:25" ht="12.75" thickBot="1" x14ac:dyDescent="0.25">
      <c r="A82" s="32"/>
      <c r="B82" s="32"/>
      <c r="C82" s="32">
        <v>37</v>
      </c>
      <c r="D82" s="33">
        <v>165.03919999999999</v>
      </c>
      <c r="E82" s="34">
        <v>35.862099999999998</v>
      </c>
      <c r="F82" s="34">
        <v>41.982799999999997</v>
      </c>
      <c r="G82" s="34">
        <v>42.974299999999999</v>
      </c>
      <c r="H82" s="34">
        <v>6548.01</v>
      </c>
      <c r="I82" s="34">
        <v>12.66</v>
      </c>
      <c r="J82" s="35">
        <f t="shared" si="0"/>
        <v>1.8188916666666668</v>
      </c>
      <c r="L82" s="33">
        <v>165.03919999999999</v>
      </c>
      <c r="M82" s="34">
        <v>35.862099999999998</v>
      </c>
      <c r="N82" s="34">
        <v>41.982799999999997</v>
      </c>
      <c r="O82" s="34">
        <v>42.974299999999999</v>
      </c>
      <c r="P82" s="34">
        <v>6538.39</v>
      </c>
      <c r="Q82" s="34">
        <v>12.6</v>
      </c>
      <c r="R82" s="35">
        <f t="shared" si="1"/>
        <v>1.8162194444444446</v>
      </c>
      <c r="S82" s="19"/>
      <c r="T82" s="38"/>
      <c r="U82" s="39"/>
      <c r="V82" s="39"/>
      <c r="W82" s="38"/>
      <c r="X82" s="39"/>
      <c r="Y82" s="40"/>
    </row>
    <row r="83" spans="1:25" x14ac:dyDescent="0.2">
      <c r="A83" s="63" t="s">
        <v>58</v>
      </c>
      <c r="B83" s="63" t="s">
        <v>59</v>
      </c>
      <c r="C83" s="63">
        <v>22</v>
      </c>
      <c r="D83" s="14">
        <v>4214.6127999999999</v>
      </c>
      <c r="E83" s="15">
        <v>40.378999999999998</v>
      </c>
      <c r="F83" s="15">
        <v>42.588500000000003</v>
      </c>
      <c r="G83" s="15">
        <v>43.107700000000001</v>
      </c>
      <c r="H83" s="15">
        <v>6358.85</v>
      </c>
      <c r="I83" s="15">
        <v>11.25</v>
      </c>
      <c r="J83" s="16">
        <f t="shared" ref="J83:J98" si="2">secToHours(H83)</f>
        <v>1.7663472222222223</v>
      </c>
      <c r="L83" s="14">
        <v>4214.6127999999999</v>
      </c>
      <c r="M83" s="15">
        <v>40.378999999999998</v>
      </c>
      <c r="N83" s="15">
        <v>42.588500000000003</v>
      </c>
      <c r="O83" s="15">
        <v>43.107700000000001</v>
      </c>
      <c r="P83" s="15">
        <v>6357.02</v>
      </c>
      <c r="Q83" s="15">
        <v>11.63</v>
      </c>
      <c r="R83" s="16">
        <f t="shared" ref="R83:R98" si="3">secToHours(P83)</f>
        <v>1.765838888888889</v>
      </c>
      <c r="S83" s="19"/>
      <c r="T83" s="20">
        <f>[1]!bdrate($D83:$D86,E83:E86,$L83:$L86,M83:M86)</f>
        <v>0</v>
      </c>
      <c r="U83" s="21">
        <f>[1]!bdrate($D83:$D86,F83:F86,$L83:$L86,N83:N86)</f>
        <v>0</v>
      </c>
      <c r="V83" s="21">
        <f>[1]!bdrate($D83:$D86,G83:G86,$L83:$L86,O83:O86)</f>
        <v>0</v>
      </c>
      <c r="W83" s="41">
        <f>[1]!bdrateOld($D83:$D86,E83:E86,$L83:$L86,M83:M86)</f>
        <v>0</v>
      </c>
      <c r="X83" s="42">
        <f>[1]!bdrateOld($D83:$D86,F83:F86,$L83:$L86,N83:N86)</f>
        <v>0</v>
      </c>
      <c r="Y83" s="43">
        <f>[1]!bdrateOld($D83:$D86,G83:G86,$L83:$L86,O83:O86)</f>
        <v>0</v>
      </c>
    </row>
    <row r="84" spans="1:25" x14ac:dyDescent="0.2">
      <c r="A84" s="64"/>
      <c r="B84" s="64"/>
      <c r="C84" s="64">
        <v>27</v>
      </c>
      <c r="D84" s="24">
        <v>1958.4272000000001</v>
      </c>
      <c r="E84" s="25">
        <v>36.9392</v>
      </c>
      <c r="F84" s="25">
        <v>39.542299999999997</v>
      </c>
      <c r="G84" s="25">
        <v>39.887099999999997</v>
      </c>
      <c r="H84" s="25">
        <v>5095.3500000000004</v>
      </c>
      <c r="I84" s="25">
        <v>8.98</v>
      </c>
      <c r="J84" s="26">
        <f t="shared" si="2"/>
        <v>1.415375</v>
      </c>
      <c r="L84" s="24">
        <v>1958.4272000000001</v>
      </c>
      <c r="M84" s="25">
        <v>36.9392</v>
      </c>
      <c r="N84" s="25">
        <v>39.542299999999997</v>
      </c>
      <c r="O84" s="25">
        <v>39.887099999999997</v>
      </c>
      <c r="P84" s="25">
        <v>5151.66</v>
      </c>
      <c r="Q84" s="25">
        <v>9.1300000000000008</v>
      </c>
      <c r="R84" s="26">
        <f t="shared" si="3"/>
        <v>1.4310166666666666</v>
      </c>
      <c r="S84" s="19"/>
      <c r="T84" s="29"/>
      <c r="U84" s="30"/>
      <c r="V84" s="30"/>
      <c r="W84" s="29"/>
      <c r="X84" s="30"/>
      <c r="Y84" s="31"/>
    </row>
    <row r="85" spans="1:25" x14ac:dyDescent="0.2">
      <c r="A85" s="64"/>
      <c r="B85" s="64"/>
      <c r="C85" s="64">
        <v>32</v>
      </c>
      <c r="D85" s="24">
        <v>927.2056</v>
      </c>
      <c r="E85" s="25">
        <v>33.869500000000002</v>
      </c>
      <c r="F85" s="25">
        <v>37.141800000000003</v>
      </c>
      <c r="G85" s="25">
        <v>37.348100000000002</v>
      </c>
      <c r="H85" s="25">
        <v>4158.04</v>
      </c>
      <c r="I85" s="25">
        <v>7.31</v>
      </c>
      <c r="J85" s="26">
        <f t="shared" si="2"/>
        <v>1.1550111111111112</v>
      </c>
      <c r="L85" s="24">
        <v>927.2056</v>
      </c>
      <c r="M85" s="25">
        <v>33.869500000000002</v>
      </c>
      <c r="N85" s="25">
        <v>37.141800000000003</v>
      </c>
      <c r="O85" s="25">
        <v>37.348100000000002</v>
      </c>
      <c r="P85" s="25">
        <v>4164.74</v>
      </c>
      <c r="Q85" s="25">
        <v>7.25</v>
      </c>
      <c r="R85" s="26">
        <f t="shared" si="3"/>
        <v>1.1568722222222221</v>
      </c>
      <c r="S85" s="19"/>
      <c r="T85" s="29"/>
      <c r="U85" s="30"/>
      <c r="V85" s="30"/>
      <c r="W85" s="29"/>
      <c r="X85" s="30"/>
      <c r="Y85" s="31"/>
    </row>
    <row r="86" spans="1:25" ht="12.75" thickBot="1" x14ac:dyDescent="0.25">
      <c r="A86" s="64"/>
      <c r="B86" s="65"/>
      <c r="C86" s="65">
        <v>37</v>
      </c>
      <c r="D86" s="33">
        <v>474.99599999999998</v>
      </c>
      <c r="E86" s="34">
        <v>31.104299999999999</v>
      </c>
      <c r="F86" s="34">
        <v>35.456600000000002</v>
      </c>
      <c r="G86" s="34">
        <v>35.4679</v>
      </c>
      <c r="H86" s="34">
        <v>3547.24</v>
      </c>
      <c r="I86" s="34">
        <v>6.21</v>
      </c>
      <c r="J86" s="35">
        <f t="shared" si="2"/>
        <v>0.98534444444444436</v>
      </c>
      <c r="L86" s="33">
        <v>474.99599999999998</v>
      </c>
      <c r="M86" s="34">
        <v>31.104299999999999</v>
      </c>
      <c r="N86" s="34">
        <v>35.456600000000002</v>
      </c>
      <c r="O86" s="34">
        <v>35.4679</v>
      </c>
      <c r="P86" s="34">
        <v>3528.22</v>
      </c>
      <c r="Q86" s="34">
        <v>6.28</v>
      </c>
      <c r="R86" s="35">
        <f t="shared" si="3"/>
        <v>0.98006111111111105</v>
      </c>
      <c r="S86" s="19"/>
      <c r="T86" s="38"/>
      <c r="U86" s="39"/>
      <c r="V86" s="39"/>
      <c r="W86" s="38"/>
      <c r="X86" s="39"/>
      <c r="Y86" s="40"/>
    </row>
    <row r="87" spans="1:25" x14ac:dyDescent="0.2">
      <c r="A87" s="64"/>
      <c r="B87" s="63" t="s">
        <v>60</v>
      </c>
      <c r="C87" s="63">
        <v>22</v>
      </c>
      <c r="D87" s="14">
        <v>5432.1701000000003</v>
      </c>
      <c r="E87" s="15">
        <v>43.034599999999998</v>
      </c>
      <c r="F87" s="15">
        <v>45.560400000000001</v>
      </c>
      <c r="G87" s="15">
        <v>45.839199999999998</v>
      </c>
      <c r="H87" s="15">
        <v>14090.43</v>
      </c>
      <c r="I87" s="15">
        <v>21.27</v>
      </c>
      <c r="J87" s="16">
        <f t="shared" si="2"/>
        <v>3.9140083333333333</v>
      </c>
      <c r="L87" s="14">
        <v>5432.1701000000003</v>
      </c>
      <c r="M87" s="15">
        <v>43.034599999999998</v>
      </c>
      <c r="N87" s="15">
        <v>45.560400000000001</v>
      </c>
      <c r="O87" s="15">
        <v>45.839199999999998</v>
      </c>
      <c r="P87" s="15">
        <v>14084.69</v>
      </c>
      <c r="Q87" s="15">
        <v>21.35</v>
      </c>
      <c r="R87" s="16">
        <f t="shared" si="3"/>
        <v>3.9124138888888891</v>
      </c>
      <c r="S87" s="19"/>
      <c r="T87" s="20">
        <f>[1]!bdrate($D87:$D90,E87:E90,$L87:$L90,M87:M90)</f>
        <v>0</v>
      </c>
      <c r="U87" s="21">
        <f>[1]!bdrate($D87:$D90,F87:F90,$L87:$L90,N87:N90)</f>
        <v>0</v>
      </c>
      <c r="V87" s="21">
        <f>[1]!bdrate($D87:$D90,G87:G90,$L87:$L90,O87:O90)</f>
        <v>0</v>
      </c>
      <c r="W87" s="41">
        <f>[1]!bdrateOld($D87:$D90,E87:E90,$L87:$L90,M87:M90)</f>
        <v>0</v>
      </c>
      <c r="X87" s="42">
        <f>[1]!bdrateOld($D87:$D90,F87:F90,$L87:$L90,N87:N90)</f>
        <v>0</v>
      </c>
      <c r="Y87" s="43">
        <f>[1]!bdrateOld($D87:$D90,G87:G90,$L87:$L90,O87:O90)</f>
        <v>0</v>
      </c>
    </row>
    <row r="88" spans="1:25" x14ac:dyDescent="0.2">
      <c r="A88" s="64"/>
      <c r="B88" s="64"/>
      <c r="C88" s="64">
        <v>27</v>
      </c>
      <c r="D88" s="24">
        <v>2620.9906000000001</v>
      </c>
      <c r="E88" s="25">
        <v>38.908999999999999</v>
      </c>
      <c r="F88" s="25">
        <v>42.481200000000001</v>
      </c>
      <c r="G88" s="25">
        <v>42.552900000000001</v>
      </c>
      <c r="H88" s="25">
        <v>11456.56</v>
      </c>
      <c r="I88" s="25">
        <v>17.73</v>
      </c>
      <c r="J88" s="26">
        <f t="shared" si="2"/>
        <v>3.1823777777777775</v>
      </c>
      <c r="L88" s="24">
        <v>2620.9906000000001</v>
      </c>
      <c r="M88" s="25">
        <v>38.908999999999999</v>
      </c>
      <c r="N88" s="25">
        <v>42.481200000000001</v>
      </c>
      <c r="O88" s="25">
        <v>42.552900000000001</v>
      </c>
      <c r="P88" s="25">
        <v>11407.28</v>
      </c>
      <c r="Q88" s="25">
        <v>17.59</v>
      </c>
      <c r="R88" s="26">
        <f t="shared" si="3"/>
        <v>3.1686888888888891</v>
      </c>
      <c r="S88" s="19"/>
      <c r="T88" s="29"/>
      <c r="U88" s="30"/>
      <c r="V88" s="30"/>
      <c r="W88" s="29"/>
      <c r="X88" s="30"/>
      <c r="Y88" s="31"/>
    </row>
    <row r="89" spans="1:25" x14ac:dyDescent="0.2">
      <c r="A89" s="64"/>
      <c r="B89" s="64"/>
      <c r="C89" s="64">
        <v>32</v>
      </c>
      <c r="D89" s="24">
        <v>1279.3733</v>
      </c>
      <c r="E89" s="25">
        <v>35.193800000000003</v>
      </c>
      <c r="F89" s="25">
        <v>40.085799999999999</v>
      </c>
      <c r="G89" s="25">
        <v>39.906999999999996</v>
      </c>
      <c r="H89" s="25">
        <v>9145.15</v>
      </c>
      <c r="I89" s="25">
        <v>15</v>
      </c>
      <c r="J89" s="26">
        <f t="shared" si="2"/>
        <v>2.5403194444444441</v>
      </c>
      <c r="L89" s="24">
        <v>1279.3733</v>
      </c>
      <c r="M89" s="25">
        <v>35.193800000000003</v>
      </c>
      <c r="N89" s="25">
        <v>40.085799999999999</v>
      </c>
      <c r="O89" s="25">
        <v>39.906999999999996</v>
      </c>
      <c r="P89" s="25">
        <v>9100.69</v>
      </c>
      <c r="Q89" s="25">
        <v>14.69</v>
      </c>
      <c r="R89" s="26">
        <f t="shared" si="3"/>
        <v>2.5279694444444445</v>
      </c>
      <c r="S89" s="19"/>
      <c r="T89" s="29"/>
      <c r="U89" s="30"/>
      <c r="V89" s="30"/>
      <c r="W89" s="29"/>
      <c r="X89" s="30"/>
      <c r="Y89" s="31"/>
    </row>
    <row r="90" spans="1:25" ht="12.75" thickBot="1" x14ac:dyDescent="0.25">
      <c r="A90" s="64"/>
      <c r="B90" s="65"/>
      <c r="C90" s="65">
        <v>37</v>
      </c>
      <c r="D90" s="33">
        <v>626.59010000000001</v>
      </c>
      <c r="E90" s="34">
        <v>31.880500000000001</v>
      </c>
      <c r="F90" s="34">
        <v>38.572400000000002</v>
      </c>
      <c r="G90" s="34">
        <v>38.273600000000002</v>
      </c>
      <c r="H90" s="34">
        <v>7476.04</v>
      </c>
      <c r="I90" s="34">
        <v>12.43</v>
      </c>
      <c r="J90" s="35">
        <f t="shared" si="2"/>
        <v>2.0766777777777778</v>
      </c>
      <c r="L90" s="33">
        <v>626.59010000000001</v>
      </c>
      <c r="M90" s="34">
        <v>31.880500000000001</v>
      </c>
      <c r="N90" s="34">
        <v>38.572400000000002</v>
      </c>
      <c r="O90" s="34">
        <v>38.273600000000002</v>
      </c>
      <c r="P90" s="34">
        <v>7450.18</v>
      </c>
      <c r="Q90" s="34">
        <v>12.44</v>
      </c>
      <c r="R90" s="35">
        <f t="shared" si="3"/>
        <v>2.0694944444444445</v>
      </c>
      <c r="S90" s="19"/>
      <c r="T90" s="38"/>
      <c r="U90" s="39"/>
      <c r="V90" s="39"/>
      <c r="W90" s="38"/>
      <c r="X90" s="39"/>
      <c r="Y90" s="40"/>
    </row>
    <row r="91" spans="1:25" x14ac:dyDescent="0.2">
      <c r="A91" s="64"/>
      <c r="B91" s="63" t="s">
        <v>61</v>
      </c>
      <c r="C91" s="63">
        <v>22</v>
      </c>
      <c r="D91" s="14">
        <v>324.02640000000002</v>
      </c>
      <c r="E91" s="15">
        <v>46.829799999999999</v>
      </c>
      <c r="F91" s="15">
        <v>45.330100000000002</v>
      </c>
      <c r="G91" s="15">
        <v>45.259500000000003</v>
      </c>
      <c r="H91" s="15">
        <v>3166.19</v>
      </c>
      <c r="I91" s="15">
        <v>5.92</v>
      </c>
      <c r="J91" s="16">
        <f t="shared" si="2"/>
        <v>0.87949722222222226</v>
      </c>
      <c r="L91" s="14">
        <v>324.02640000000002</v>
      </c>
      <c r="M91" s="15">
        <v>46.829799999999999</v>
      </c>
      <c r="N91" s="15">
        <v>45.330100000000002</v>
      </c>
      <c r="O91" s="15">
        <v>45.259500000000003</v>
      </c>
      <c r="P91" s="15">
        <v>3152.66</v>
      </c>
      <c r="Q91" s="15">
        <v>5.93</v>
      </c>
      <c r="R91" s="16">
        <f t="shared" si="3"/>
        <v>0.87573888888888884</v>
      </c>
      <c r="S91" s="19"/>
      <c r="T91" s="20">
        <f>[1]!bdrate($D91:$D94,E91:E94,$L91:$L94,M91:M94)</f>
        <v>0</v>
      </c>
      <c r="U91" s="21">
        <f>[1]!bdrate($D91:$D94,F91:F94,$L91:$L94,N91:N94)</f>
        <v>0</v>
      </c>
      <c r="V91" s="21">
        <f>[1]!bdrate($D91:$D94,G91:G94,$L91:$L94,O91:O94)</f>
        <v>0</v>
      </c>
      <c r="W91" s="41">
        <f>[1]!bdrateOld($D91:$D94,E91:E94,$L91:$L94,M91:M94)</f>
        <v>0</v>
      </c>
      <c r="X91" s="42">
        <f>[1]!bdrateOld($D91:$D94,F91:F94,$L91:$L94,N91:N94)</f>
        <v>0</v>
      </c>
      <c r="Y91" s="43">
        <f>[1]!bdrateOld($D91:$D94,G91:G94,$L91:$L94,O91:O94)</f>
        <v>0</v>
      </c>
    </row>
    <row r="92" spans="1:25" x14ac:dyDescent="0.2">
      <c r="A92" s="64"/>
      <c r="B92" s="64"/>
      <c r="C92" s="64">
        <v>27</v>
      </c>
      <c r="D92" s="24">
        <v>235.54320000000001</v>
      </c>
      <c r="E92" s="25">
        <v>42.421300000000002</v>
      </c>
      <c r="F92" s="25">
        <v>41.064399999999999</v>
      </c>
      <c r="G92" s="25">
        <v>41.094499999999996</v>
      </c>
      <c r="H92" s="25">
        <v>3080.68</v>
      </c>
      <c r="I92" s="25">
        <v>5.76</v>
      </c>
      <c r="J92" s="26">
        <f t="shared" si="2"/>
        <v>0.85574444444444442</v>
      </c>
      <c r="L92" s="24">
        <v>235.54320000000001</v>
      </c>
      <c r="M92" s="25">
        <v>42.421300000000002</v>
      </c>
      <c r="N92" s="25">
        <v>41.064399999999999</v>
      </c>
      <c r="O92" s="25">
        <v>41.094499999999996</v>
      </c>
      <c r="P92" s="25">
        <v>3118.53</v>
      </c>
      <c r="Q92" s="25">
        <v>5.82</v>
      </c>
      <c r="R92" s="26">
        <f t="shared" si="3"/>
        <v>0.86625833333333335</v>
      </c>
      <c r="S92" s="19"/>
      <c r="T92" s="29"/>
      <c r="U92" s="30"/>
      <c r="V92" s="30"/>
      <c r="W92" s="29"/>
      <c r="X92" s="30"/>
      <c r="Y92" s="31"/>
    </row>
    <row r="93" spans="1:25" x14ac:dyDescent="0.2">
      <c r="A93" s="64"/>
      <c r="B93" s="64"/>
      <c r="C93" s="64">
        <v>32</v>
      </c>
      <c r="D93" s="24">
        <v>177.8296</v>
      </c>
      <c r="E93" s="25">
        <v>37.688299999999998</v>
      </c>
      <c r="F93" s="25">
        <v>38.779899999999998</v>
      </c>
      <c r="G93" s="25">
        <v>38.723300000000002</v>
      </c>
      <c r="H93" s="25">
        <v>3008.64</v>
      </c>
      <c r="I93" s="25">
        <v>5.84</v>
      </c>
      <c r="J93" s="26">
        <f t="shared" si="2"/>
        <v>0.83573333333333333</v>
      </c>
      <c r="L93" s="24">
        <v>177.8296</v>
      </c>
      <c r="M93" s="25">
        <v>37.688299999999998</v>
      </c>
      <c r="N93" s="25">
        <v>38.779899999999998</v>
      </c>
      <c r="O93" s="25">
        <v>38.723300000000002</v>
      </c>
      <c r="P93" s="25">
        <v>3007.95</v>
      </c>
      <c r="Q93" s="25">
        <v>5.82</v>
      </c>
      <c r="R93" s="26">
        <f t="shared" si="3"/>
        <v>0.83554166666666663</v>
      </c>
      <c r="S93" s="19"/>
      <c r="T93" s="29"/>
      <c r="U93" s="30"/>
      <c r="V93" s="30"/>
      <c r="W93" s="29"/>
      <c r="X93" s="30"/>
      <c r="Y93" s="31"/>
    </row>
    <row r="94" spans="1:25" ht="12.75" thickBot="1" x14ac:dyDescent="0.25">
      <c r="A94" s="64"/>
      <c r="B94" s="65"/>
      <c r="C94" s="65">
        <v>37</v>
      </c>
      <c r="D94" s="33">
        <v>128.44560000000001</v>
      </c>
      <c r="E94" s="34">
        <v>32.774500000000003</v>
      </c>
      <c r="F94" s="34">
        <v>37.6006</v>
      </c>
      <c r="G94" s="34">
        <v>37.157800000000002</v>
      </c>
      <c r="H94" s="34">
        <v>2953.54</v>
      </c>
      <c r="I94" s="34">
        <v>5.71</v>
      </c>
      <c r="J94" s="35">
        <f t="shared" si="2"/>
        <v>0.82042777777777776</v>
      </c>
      <c r="L94" s="33">
        <v>128.44560000000001</v>
      </c>
      <c r="M94" s="34">
        <v>32.774500000000003</v>
      </c>
      <c r="N94" s="34">
        <v>37.6006</v>
      </c>
      <c r="O94" s="34">
        <v>37.157800000000002</v>
      </c>
      <c r="P94" s="34">
        <v>2948.13</v>
      </c>
      <c r="Q94" s="34">
        <v>5.76</v>
      </c>
      <c r="R94" s="35">
        <f t="shared" si="3"/>
        <v>0.81892500000000001</v>
      </c>
      <c r="S94" s="19"/>
      <c r="T94" s="38"/>
      <c r="U94" s="39"/>
      <c r="V94" s="39"/>
      <c r="W94" s="38"/>
      <c r="X94" s="39"/>
      <c r="Y94" s="40"/>
    </row>
    <row r="95" spans="1:25" x14ac:dyDescent="0.2">
      <c r="A95" s="64"/>
      <c r="B95" s="63" t="s">
        <v>62</v>
      </c>
      <c r="C95" s="63">
        <v>22</v>
      </c>
      <c r="D95" s="14">
        <v>701</v>
      </c>
      <c r="E95" s="15">
        <v>48.890300000000003</v>
      </c>
      <c r="F95" s="15">
        <v>51.642600000000002</v>
      </c>
      <c r="G95" s="15">
        <v>52.591200000000001</v>
      </c>
      <c r="H95" s="15">
        <v>7250.09</v>
      </c>
      <c r="I95" s="15">
        <v>12.22</v>
      </c>
      <c r="J95" s="16">
        <f t="shared" si="2"/>
        <v>2.0139138888888888</v>
      </c>
      <c r="L95" s="14">
        <v>701</v>
      </c>
      <c r="M95" s="15">
        <v>48.890300000000003</v>
      </c>
      <c r="N95" s="15">
        <v>51.642600000000002</v>
      </c>
      <c r="O95" s="15">
        <v>52.591200000000001</v>
      </c>
      <c r="P95" s="15">
        <v>7231.37</v>
      </c>
      <c r="Q95" s="15">
        <v>12.08</v>
      </c>
      <c r="R95" s="16">
        <f t="shared" si="3"/>
        <v>2.0087138888888889</v>
      </c>
      <c r="S95" s="19"/>
      <c r="T95" s="20">
        <f>[1]!bdrate($D95:$D98,E95:E98,$L95:$L98,M95:M98)</f>
        <v>0</v>
      </c>
      <c r="U95" s="21">
        <f>[1]!bdrate($D95:$D98,F95:F98,$L95:$L98,N95:N98)</f>
        <v>0</v>
      </c>
      <c r="V95" s="21">
        <f>[1]!bdrate($D95:$D98,G95:G98,$L95:$L98,O95:O98)</f>
        <v>0</v>
      </c>
      <c r="W95" s="41">
        <f>[1]!bdrateOld($D95:$D98,E95:E98,$L95:$L98,M95:M98)</f>
        <v>0</v>
      </c>
      <c r="X95" s="42">
        <f>[1]!bdrateOld($D95:$D98,F95:F98,$L95:$L98,N95:N98)</f>
        <v>0</v>
      </c>
      <c r="Y95" s="43">
        <f>[1]!bdrateOld($D95:$D98,G95:G98,$L95:$L98,O95:O98)</f>
        <v>0</v>
      </c>
    </row>
    <row r="96" spans="1:25" x14ac:dyDescent="0.2">
      <c r="A96" s="64"/>
      <c r="B96" s="64"/>
      <c r="C96" s="64">
        <v>27</v>
      </c>
      <c r="D96" s="24">
        <v>413.64350000000002</v>
      </c>
      <c r="E96" s="25">
        <v>44.912300000000002</v>
      </c>
      <c r="F96" s="25">
        <v>48.057000000000002</v>
      </c>
      <c r="G96" s="25">
        <v>49.227600000000002</v>
      </c>
      <c r="H96" s="25">
        <v>6782.13</v>
      </c>
      <c r="I96" s="25">
        <v>11.66</v>
      </c>
      <c r="J96" s="26">
        <f t="shared" si="2"/>
        <v>1.8839250000000001</v>
      </c>
      <c r="L96" s="24">
        <v>413.64350000000002</v>
      </c>
      <c r="M96" s="25">
        <v>44.912300000000002</v>
      </c>
      <c r="N96" s="25">
        <v>48.057000000000002</v>
      </c>
      <c r="O96" s="25">
        <v>49.227600000000002</v>
      </c>
      <c r="P96" s="25">
        <v>6780.22</v>
      </c>
      <c r="Q96" s="25">
        <v>11.53</v>
      </c>
      <c r="R96" s="26">
        <f t="shared" si="3"/>
        <v>1.8833944444444446</v>
      </c>
      <c r="S96" s="19"/>
      <c r="T96" s="29"/>
      <c r="U96" s="30"/>
      <c r="V96" s="30"/>
      <c r="W96" s="29"/>
      <c r="X96" s="30"/>
      <c r="Y96" s="31"/>
    </row>
    <row r="97" spans="1:25" x14ac:dyDescent="0.2">
      <c r="A97" s="64"/>
      <c r="B97" s="64"/>
      <c r="C97" s="64">
        <v>32</v>
      </c>
      <c r="D97" s="24">
        <v>244.2928</v>
      </c>
      <c r="E97" s="25">
        <v>40.945</v>
      </c>
      <c r="F97" s="25">
        <v>45.168700000000001</v>
      </c>
      <c r="G97" s="25">
        <v>46.366700000000002</v>
      </c>
      <c r="H97" s="25">
        <v>6391.16</v>
      </c>
      <c r="I97" s="25">
        <v>11.28</v>
      </c>
      <c r="J97" s="26">
        <f t="shared" si="2"/>
        <v>1.7753222222222222</v>
      </c>
      <c r="L97" s="24">
        <v>244.2928</v>
      </c>
      <c r="M97" s="25">
        <v>40.945</v>
      </c>
      <c r="N97" s="25">
        <v>45.168700000000001</v>
      </c>
      <c r="O97" s="25">
        <v>46.366700000000002</v>
      </c>
      <c r="P97" s="25">
        <v>6387.02</v>
      </c>
      <c r="Q97" s="25">
        <v>11.06</v>
      </c>
      <c r="R97" s="26">
        <f t="shared" si="3"/>
        <v>1.7741722222222223</v>
      </c>
      <c r="S97" s="19"/>
      <c r="T97" s="29"/>
      <c r="U97" s="30"/>
      <c r="V97" s="30"/>
      <c r="W97" s="29"/>
      <c r="X97" s="30"/>
      <c r="Y97" s="31"/>
    </row>
    <row r="98" spans="1:25" ht="12.75" thickBot="1" x14ac:dyDescent="0.25">
      <c r="A98" s="65"/>
      <c r="B98" s="65"/>
      <c r="C98" s="65">
        <v>37</v>
      </c>
      <c r="D98" s="33">
        <v>150.54140000000001</v>
      </c>
      <c r="E98" s="34">
        <v>36.9587</v>
      </c>
      <c r="F98" s="34">
        <v>43.288600000000002</v>
      </c>
      <c r="G98" s="34">
        <v>44.833199999999998</v>
      </c>
      <c r="H98" s="34">
        <v>6088.98</v>
      </c>
      <c r="I98" s="34">
        <v>10.64</v>
      </c>
      <c r="J98" s="35">
        <f t="shared" si="2"/>
        <v>1.6913833333333332</v>
      </c>
      <c r="L98" s="33">
        <v>150.54140000000001</v>
      </c>
      <c r="M98" s="34">
        <v>36.9587</v>
      </c>
      <c r="N98" s="34">
        <v>43.288600000000002</v>
      </c>
      <c r="O98" s="34">
        <v>44.833199999999998</v>
      </c>
      <c r="P98" s="34">
        <v>6053.96</v>
      </c>
      <c r="Q98" s="34">
        <v>10.58</v>
      </c>
      <c r="R98" s="35">
        <f t="shared" si="3"/>
        <v>1.6816555555555555</v>
      </c>
      <c r="S98" s="19"/>
      <c r="T98" s="29"/>
      <c r="U98" s="30"/>
      <c r="V98" s="30"/>
      <c r="W98" s="29"/>
      <c r="X98" s="30"/>
      <c r="Y98" s="31"/>
    </row>
    <row r="99" spans="1:25" x14ac:dyDescent="0.2">
      <c r="B99" s="13" t="s">
        <v>2</v>
      </c>
      <c r="T99" s="81"/>
      <c r="U99" s="82"/>
      <c r="V99" s="82"/>
      <c r="W99" s="81"/>
      <c r="X99" s="82"/>
      <c r="Y99" s="107"/>
    </row>
    <row r="100" spans="1:25" x14ac:dyDescent="0.2">
      <c r="B100" s="23" t="s">
        <v>68</v>
      </c>
      <c r="T100" s="83"/>
      <c r="U100" s="84"/>
      <c r="V100" s="84"/>
      <c r="W100" s="83"/>
      <c r="X100" s="84"/>
      <c r="Y100" s="85"/>
    </row>
    <row r="101" spans="1:25" x14ac:dyDescent="0.2">
      <c r="B101" s="23" t="s">
        <v>7</v>
      </c>
      <c r="T101" s="41">
        <f t="shared" ref="T101:Y101" si="4">AVERAGE(T19,T23,T27,T31,T35)</f>
        <v>0</v>
      </c>
      <c r="U101" s="42">
        <f t="shared" si="4"/>
        <v>0</v>
      </c>
      <c r="V101" s="42">
        <f t="shared" si="4"/>
        <v>0</v>
      </c>
      <c r="W101" s="41">
        <f t="shared" si="4"/>
        <v>0</v>
      </c>
      <c r="X101" s="42">
        <f t="shared" si="4"/>
        <v>0</v>
      </c>
      <c r="Y101" s="43">
        <f t="shared" si="4"/>
        <v>0</v>
      </c>
    </row>
    <row r="102" spans="1:25" x14ac:dyDescent="0.2">
      <c r="B102" s="23" t="s">
        <v>14</v>
      </c>
      <c r="T102" s="41">
        <f t="shared" ref="T102:Y102" si="5">AVERAGE(T39,T43,T47,T51)</f>
        <v>0</v>
      </c>
      <c r="U102" s="42">
        <f t="shared" si="5"/>
        <v>0</v>
      </c>
      <c r="V102" s="42">
        <f t="shared" si="5"/>
        <v>0</v>
      </c>
      <c r="W102" s="41">
        <f t="shared" si="5"/>
        <v>0</v>
      </c>
      <c r="X102" s="42">
        <f t="shared" si="5"/>
        <v>0</v>
      </c>
      <c r="Y102" s="43">
        <f t="shared" si="5"/>
        <v>0</v>
      </c>
    </row>
    <row r="103" spans="1:25" x14ac:dyDescent="0.2">
      <c r="B103" s="23" t="s">
        <v>20</v>
      </c>
      <c r="T103" s="41">
        <f t="shared" ref="T103:Y103" si="6">AVERAGE(T55,T59,T63,T67)</f>
        <v>0</v>
      </c>
      <c r="U103" s="42">
        <f t="shared" si="6"/>
        <v>0</v>
      </c>
      <c r="V103" s="42">
        <f t="shared" si="6"/>
        <v>0</v>
      </c>
      <c r="W103" s="41">
        <f t="shared" si="6"/>
        <v>0</v>
      </c>
      <c r="X103" s="42">
        <f t="shared" si="6"/>
        <v>0</v>
      </c>
      <c r="Y103" s="43">
        <f t="shared" si="6"/>
        <v>0</v>
      </c>
    </row>
    <row r="104" spans="1:25" x14ac:dyDescent="0.2">
      <c r="B104" s="23" t="s">
        <v>27</v>
      </c>
      <c r="T104" s="41">
        <f t="shared" ref="T104:Y104" si="7">AVERAGE(T71,T75,T79)</f>
        <v>0</v>
      </c>
      <c r="U104" s="42">
        <f t="shared" si="7"/>
        <v>0</v>
      </c>
      <c r="V104" s="42">
        <f t="shared" si="7"/>
        <v>0</v>
      </c>
      <c r="W104" s="41">
        <f t="shared" si="7"/>
        <v>0</v>
      </c>
      <c r="X104" s="42">
        <f t="shared" si="7"/>
        <v>0</v>
      </c>
      <c r="Y104" s="43">
        <f t="shared" si="7"/>
        <v>0</v>
      </c>
    </row>
    <row r="105" spans="1:25" ht="12.75" thickBot="1" x14ac:dyDescent="0.25">
      <c r="B105" s="23" t="s">
        <v>63</v>
      </c>
      <c r="T105" s="41">
        <f t="shared" ref="T105:Y105" si="8">AVERAGE(T83,T87,T91,T95)</f>
        <v>0</v>
      </c>
      <c r="U105" s="42">
        <f t="shared" si="8"/>
        <v>0</v>
      </c>
      <c r="V105" s="42">
        <f t="shared" si="8"/>
        <v>0</v>
      </c>
      <c r="W105" s="41">
        <f t="shared" si="8"/>
        <v>0</v>
      </c>
      <c r="X105" s="42">
        <f t="shared" si="8"/>
        <v>0</v>
      </c>
      <c r="Y105" s="43">
        <f t="shared" si="8"/>
        <v>0</v>
      </c>
    </row>
    <row r="106" spans="1:25" ht="12.75" thickBot="1" x14ac:dyDescent="0.25">
      <c r="A106" s="3"/>
      <c r="B106" s="4" t="s">
        <v>28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5">
        <f t="shared" ref="T106:Y106" si="9">AVERAGE(T3:T98)</f>
        <v>0</v>
      </c>
      <c r="U106" s="46">
        <f t="shared" si="9"/>
        <v>0</v>
      </c>
      <c r="V106" s="47">
        <f t="shared" si="9"/>
        <v>0</v>
      </c>
      <c r="W106" s="46">
        <f t="shared" si="9"/>
        <v>0</v>
      </c>
      <c r="X106" s="46">
        <f t="shared" si="9"/>
        <v>0</v>
      </c>
      <c r="Y106" s="47">
        <f t="shared" si="9"/>
        <v>0</v>
      </c>
    </row>
    <row r="107" spans="1:25" x14ac:dyDescent="0.2">
      <c r="B107" s="13" t="s">
        <v>29</v>
      </c>
      <c r="I107" s="95">
        <f>GEOMEAN(I3:I98)</f>
        <v>9.9131895896824656</v>
      </c>
      <c r="J107" s="92">
        <f>GEOMEAN(J3:J98)</f>
        <v>1.4933460007703114</v>
      </c>
      <c r="Q107" s="95">
        <f>GEOMEAN(Q3:Q98)</f>
        <v>9.8938021212265888</v>
      </c>
      <c r="R107" s="92">
        <f>GEOMEAN(R3:R98)</f>
        <v>1.4905023304372849</v>
      </c>
    </row>
    <row r="108" spans="1:25" ht="12.75" thickBot="1" x14ac:dyDescent="0.25">
      <c r="B108" s="23" t="s">
        <v>30</v>
      </c>
      <c r="I108" s="96">
        <f>SUM(I3:I98)/3600</f>
        <v>0.33400555555555578</v>
      </c>
      <c r="J108" s="94">
        <f>SUM(J3:J98)</f>
        <v>184.70184166666672</v>
      </c>
      <c r="Q108" s="96">
        <f>SUM(Q3:Q98)/3600</f>
        <v>0.33203333333333329</v>
      </c>
      <c r="R108" s="94">
        <f>SUM(R3:R98)</f>
        <v>184.31293333333329</v>
      </c>
    </row>
    <row r="109" spans="1:25" ht="12.75" thickBot="1" x14ac:dyDescent="0.25">
      <c r="B109" s="32" t="s">
        <v>98</v>
      </c>
      <c r="T109" s="97">
        <f>Q107/I107</f>
        <v>0.99804427542916607</v>
      </c>
      <c r="U109" s="98">
        <f>R107/J107</f>
        <v>0.99809577262633054</v>
      </c>
    </row>
    <row r="110" spans="1:25" x14ac:dyDescent="0.2">
      <c r="T110" s="93"/>
      <c r="U110" s="93"/>
    </row>
    <row r="111" spans="1:25" ht="12.75" customHeight="1" thickBot="1" x14ac:dyDescent="0.25"/>
    <row r="112" spans="1:25" ht="12.75" customHeight="1" thickBot="1" x14ac:dyDescent="0.25">
      <c r="A112" s="3"/>
      <c r="B112" s="4" t="s">
        <v>100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5">
        <f t="shared" ref="T112:Y112" si="10">AVERAGE(T3:T10, T19:T98)</f>
        <v>0</v>
      </c>
      <c r="U112" s="46">
        <f t="shared" si="10"/>
        <v>0</v>
      </c>
      <c r="V112" s="47">
        <f t="shared" si="10"/>
        <v>0</v>
      </c>
      <c r="W112" s="46">
        <f t="shared" si="10"/>
        <v>0</v>
      </c>
      <c r="X112" s="46">
        <f t="shared" si="10"/>
        <v>0</v>
      </c>
      <c r="Y112" s="47">
        <f t="shared" si="10"/>
        <v>0</v>
      </c>
    </row>
    <row r="113" spans="2:21" x14ac:dyDescent="0.2">
      <c r="B113" s="13" t="s">
        <v>29</v>
      </c>
      <c r="I113" s="95">
        <f>GEOMEAN(I3:I10, I19:I82)</f>
        <v>9.9640089207713061</v>
      </c>
      <c r="J113" s="92">
        <f t="shared" ref="J113:R113" si="11">GEOMEAN(J3:J10, J19:J82)</f>
        <v>1.479734986904631</v>
      </c>
      <c r="Q113" s="95">
        <f t="shared" si="11"/>
        <v>9.9400052881831549</v>
      </c>
      <c r="R113" s="92">
        <f t="shared" si="11"/>
        <v>1.4764336305853629</v>
      </c>
    </row>
    <row r="114" spans="2:21" ht="12.75" thickBot="1" x14ac:dyDescent="0.25">
      <c r="B114" s="23" t="s">
        <v>30</v>
      </c>
      <c r="I114" s="96">
        <f>SUM(I3:I10, I19:I82)/3600</f>
        <v>0.28700277777777794</v>
      </c>
      <c r="J114" s="94">
        <f>SUM(J3:J10, J19:J82)</f>
        <v>156.91043333333337</v>
      </c>
      <c r="Q114" s="96">
        <f t="shared" ref="Q114" si="12">SUM(Q3:Q10, Q19:Q82)/3600</f>
        <v>0.28510555555555561</v>
      </c>
      <c r="R114" s="94">
        <f>SUM(R3:R10, R19:R82)</f>
        <v>156.55617777777778</v>
      </c>
    </row>
    <row r="115" spans="2:21" ht="12.75" thickBot="1" x14ac:dyDescent="0.25">
      <c r="B115" s="32" t="s">
        <v>98</v>
      </c>
      <c r="T115" s="97">
        <f>Q113/I113</f>
        <v>0.99759096636915767</v>
      </c>
      <c r="U115" s="98">
        <f>R113/J113</f>
        <v>0.99776895434082158</v>
      </c>
    </row>
    <row r="116" spans="2:21" ht="12.75" customHeight="1" x14ac:dyDescent="0.2">
      <c r="I116" s="48"/>
      <c r="J116" s="48"/>
      <c r="Q116" s="48"/>
      <c r="R116" s="48"/>
    </row>
  </sheetData>
  <mergeCells count="4">
    <mergeCell ref="D1:J1"/>
    <mergeCell ref="L1:R1"/>
    <mergeCell ref="T1:V1"/>
    <mergeCell ref="W1:Y1"/>
  </mergeCells>
  <phoneticPr fontId="7" type="noConversion"/>
  <conditionalFormatting sqref="T106:Y106 W99:Y106 W3:Y3 W7:Y7 W19:Y19 W23:Y23 W27:Y27 W31:Y31 W35:Y35 W39:Y39 W43:Y43 W47:Y47 W51:Y51 W55:Y55 W59:Y59 W63:Y63 W67:Y67 W71:Y71 W75:Y75 W79:Y79 W6:X6 W10:X10 W22:X22 W26:X26 W30:X30 W34:X34 W38:X38 W42:X42 W46:X46 W50:X50 W54:X54 W58:X58 W62:X62 W66:X66 W70:X70 W74:X74 W78:X78 T3:V106 W83:Y83 W87:Y87 W91:Y91 W95:Y95 W86:X86 W90:X90 W94:X94 W11:Y11 W14:X14 W15:Y15 W18:X18 W98:X98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T112:Y112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T112:Y112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T99:Y106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T112:Y112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T112:Y112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86"/>
  <sheetViews>
    <sheetView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9" style="57" customWidth="1"/>
    <col min="28" max="39" width="9" customWidth="1"/>
  </cols>
  <sheetData>
    <row r="1" spans="1:38" ht="15" thickBot="1" x14ac:dyDescent="0.2">
      <c r="A1" t="s">
        <v>52</v>
      </c>
      <c r="AD1" t="s">
        <v>50</v>
      </c>
      <c r="AI1" t="s">
        <v>51</v>
      </c>
    </row>
    <row r="2" spans="1:38" ht="15.75" thickBot="1" x14ac:dyDescent="0.25">
      <c r="A2" s="56" t="s">
        <v>77</v>
      </c>
      <c r="B2" s="56" t="s">
        <v>24</v>
      </c>
      <c r="AD2" s="6" t="s">
        <v>31</v>
      </c>
      <c r="AE2" s="7" t="s">
        <v>32</v>
      </c>
      <c r="AF2" s="7" t="s">
        <v>33</v>
      </c>
      <c r="AG2" s="7" t="s">
        <v>34</v>
      </c>
      <c r="AI2" s="6" t="s">
        <v>31</v>
      </c>
      <c r="AJ2" s="7" t="s">
        <v>32</v>
      </c>
      <c r="AK2" s="7" t="s">
        <v>33</v>
      </c>
      <c r="AL2" s="7" t="s">
        <v>34</v>
      </c>
    </row>
    <row r="3" spans="1:38" ht="15" x14ac:dyDescent="0.2">
      <c r="Z3" t="s">
        <v>77</v>
      </c>
      <c r="AA3" s="30" t="s">
        <v>15</v>
      </c>
      <c r="AB3">
        <v>39</v>
      </c>
      <c r="AC3">
        <f>VLOOKUP(B2,AA3:AB26,2,FALSE)</f>
        <v>63</v>
      </c>
      <c r="AD3">
        <f ca="1">INDIRECT("'"&amp;$A$2&amp;"'!"&amp;ADDRESS($AC3,4))</f>
        <v>11654.72</v>
      </c>
      <c r="AE3">
        <f ca="1">INDIRECT("'"&amp;$A$2&amp;"'!"&amp;ADDRESS($AC3,5))</f>
        <v>41.0246</v>
      </c>
      <c r="AF3">
        <f ca="1">INDIRECT("'"&amp;$A$2&amp;"'!"&amp;ADDRESS($AC3,6))</f>
        <v>42.058100000000003</v>
      </c>
      <c r="AG3">
        <f ca="1">INDIRECT("'"&amp;$A$2&amp;"'!"&amp;ADDRESS($AC3,7))</f>
        <v>42.734400000000001</v>
      </c>
      <c r="AI3">
        <f ca="1">INDIRECT("'"&amp;$A$2&amp;"'!"&amp;ADDRESS($AC3,12))</f>
        <v>11666.04</v>
      </c>
      <c r="AJ3">
        <f ca="1">INDIRECT("'"&amp;$A$2&amp;"'!"&amp;ADDRESS($AC3,13))</f>
        <v>41.020699999999998</v>
      </c>
      <c r="AK3">
        <f ca="1">INDIRECT("'"&amp;$A$2&amp;"'!"&amp;ADDRESS($AC3,14))</f>
        <v>42.067</v>
      </c>
      <c r="AL3">
        <f ca="1">INDIRECT("'"&amp;$A$2&amp;"'!"&amp;ADDRESS($AC3,15))</f>
        <v>42.757800000000003</v>
      </c>
    </row>
    <row r="4" spans="1:38" ht="15" x14ac:dyDescent="0.2">
      <c r="Z4" t="s">
        <v>64</v>
      </c>
      <c r="AA4" s="30" t="s">
        <v>59</v>
      </c>
      <c r="AB4">
        <v>83</v>
      </c>
      <c r="AC4">
        <f>AC3+1</f>
        <v>64</v>
      </c>
      <c r="AD4">
        <f ca="1">INDIRECT("'"&amp;$A$2&amp;"'!"&amp;ADDRESS($AC4,4))</f>
        <v>7223.76</v>
      </c>
      <c r="AE4">
        <f ca="1">INDIRECT("'"&amp;$A$2&amp;"'!"&amp;ADDRESS($AC4,5))</f>
        <v>36.7072</v>
      </c>
      <c r="AF4">
        <f ca="1">INDIRECT("'"&amp;$A$2&amp;"'!"&amp;ADDRESS($AC4,6))</f>
        <v>38.844299999999997</v>
      </c>
      <c r="AG4">
        <f ca="1">INDIRECT("'"&amp;$A$2&amp;"'!"&amp;ADDRESS($AC4,7))</f>
        <v>39.378399999999999</v>
      </c>
      <c r="AI4">
        <f ca="1">INDIRECT("'"&amp;$A$2&amp;"'!"&amp;ADDRESS($AC4,12))</f>
        <v>7243.76</v>
      </c>
      <c r="AJ4">
        <f ca="1">INDIRECT("'"&amp;$A$2&amp;"'!"&amp;ADDRESS($AC4,13))</f>
        <v>36.706499999999998</v>
      </c>
      <c r="AK4">
        <f ca="1">INDIRECT("'"&amp;$A$2&amp;"'!"&amp;ADDRESS($AC4,14))</f>
        <v>38.876800000000003</v>
      </c>
      <c r="AL4">
        <f ca="1">INDIRECT("'"&amp;$A$2&amp;"'!"&amp;ADDRESS($AC4,15))</f>
        <v>39.372799999999998</v>
      </c>
    </row>
    <row r="5" spans="1:38" ht="15" x14ac:dyDescent="0.2">
      <c r="Z5" t="s">
        <v>78</v>
      </c>
      <c r="AA5" s="30" t="s">
        <v>12</v>
      </c>
      <c r="AB5">
        <v>31</v>
      </c>
      <c r="AC5">
        <f>AC4+1</f>
        <v>65</v>
      </c>
      <c r="AD5">
        <f ca="1">INDIRECT("'"&amp;$A$2&amp;"'!"&amp;ADDRESS($AC5,4))</f>
        <v>4126.4799999999996</v>
      </c>
      <c r="AE5">
        <f ca="1">INDIRECT("'"&amp;$A$2&amp;"'!"&amp;ADDRESS($AC5,5))</f>
        <v>32.691600000000001</v>
      </c>
      <c r="AF5">
        <f ca="1">INDIRECT("'"&amp;$A$2&amp;"'!"&amp;ADDRESS($AC5,6))</f>
        <v>36.528100000000002</v>
      </c>
      <c r="AG5">
        <f ca="1">INDIRECT("'"&amp;$A$2&amp;"'!"&amp;ADDRESS($AC5,7))</f>
        <v>37.020699999999998</v>
      </c>
      <c r="AI5">
        <f ca="1">INDIRECT("'"&amp;$A$2&amp;"'!"&amp;ADDRESS($AC5,12))</f>
        <v>4140.92</v>
      </c>
      <c r="AJ5">
        <f ca="1">INDIRECT("'"&amp;$A$2&amp;"'!"&amp;ADDRESS($AC5,13))</f>
        <v>32.703000000000003</v>
      </c>
      <c r="AK5">
        <f ca="1">INDIRECT("'"&amp;$A$2&amp;"'!"&amp;ADDRESS($AC5,14))</f>
        <v>36.557600000000001</v>
      </c>
      <c r="AL5">
        <f ca="1">INDIRECT("'"&amp;$A$2&amp;"'!"&amp;ADDRESS($AC5,15))</f>
        <v>37.0015</v>
      </c>
    </row>
    <row r="6" spans="1:38" ht="15" x14ac:dyDescent="0.2">
      <c r="Z6" t="s">
        <v>65</v>
      </c>
      <c r="AA6" s="30" t="s">
        <v>21</v>
      </c>
      <c r="AB6">
        <v>55</v>
      </c>
      <c r="AC6">
        <f>AC5+1</f>
        <v>66</v>
      </c>
      <c r="AD6">
        <f ca="1">INDIRECT("'"&amp;$A$2&amp;"'!"&amp;ADDRESS($AC6,4))</f>
        <v>2142.84</v>
      </c>
      <c r="AE6">
        <f ca="1">INDIRECT("'"&amp;$A$2&amp;"'!"&amp;ADDRESS($AC6,5))</f>
        <v>29.133800000000001</v>
      </c>
      <c r="AF6">
        <f ca="1">INDIRECT("'"&amp;$A$2&amp;"'!"&amp;ADDRESS($AC6,6))</f>
        <v>34.945399999999999</v>
      </c>
      <c r="AG6">
        <f ca="1">INDIRECT("'"&amp;$A$2&amp;"'!"&amp;ADDRESS($AC6,7))</f>
        <v>35.393799999999999</v>
      </c>
      <c r="AI6">
        <f ca="1">INDIRECT("'"&amp;$A$2&amp;"'!"&amp;ADDRESS($AC6,12))</f>
        <v>2151.7600000000002</v>
      </c>
      <c r="AJ6">
        <f ca="1">INDIRECT("'"&amp;$A$2&amp;"'!"&amp;ADDRESS($AC6,13))</f>
        <v>29.141100000000002</v>
      </c>
      <c r="AK6">
        <f ca="1">INDIRECT("'"&amp;$A$2&amp;"'!"&amp;ADDRESS($AC6,14))</f>
        <v>34.984299999999998</v>
      </c>
      <c r="AL6">
        <f ca="1">INDIRECT("'"&amp;$A$2&amp;"'!"&amp;ADDRESS($AC6,15))</f>
        <v>35.378500000000003</v>
      </c>
    </row>
    <row r="7" spans="1:38" ht="15" x14ac:dyDescent="0.2">
      <c r="Z7" t="s">
        <v>79</v>
      </c>
      <c r="AA7" s="30" t="s">
        <v>24</v>
      </c>
      <c r="AB7">
        <v>63</v>
      </c>
    </row>
    <row r="8" spans="1:38" ht="15" x14ac:dyDescent="0.2">
      <c r="Z8" t="s">
        <v>66</v>
      </c>
      <c r="AA8" s="30" t="s">
        <v>17</v>
      </c>
      <c r="AB8">
        <v>43</v>
      </c>
      <c r="AD8" t="str">
        <f>"Sequence: "&amp;B2 &amp; "     Coding Conditions: " &amp; A2</f>
        <v>Sequence: BlowingBubbles     Coding Conditions: AI-Main</v>
      </c>
    </row>
    <row r="9" spans="1:38" ht="15" x14ac:dyDescent="0.2">
      <c r="Z9" t="s">
        <v>80</v>
      </c>
      <c r="AA9" s="30" t="s">
        <v>23</v>
      </c>
      <c r="AB9">
        <v>59</v>
      </c>
    </row>
    <row r="10" spans="1:38" ht="15" x14ac:dyDescent="0.2">
      <c r="Z10" t="s">
        <v>67</v>
      </c>
      <c r="AA10" s="30" t="s">
        <v>13</v>
      </c>
      <c r="AB10">
        <v>35</v>
      </c>
    </row>
    <row r="11" spans="1:38" ht="15" x14ac:dyDescent="0.2">
      <c r="AA11" s="30" t="s">
        <v>11</v>
      </c>
      <c r="AB11">
        <v>27</v>
      </c>
      <c r="AD11" t="s">
        <v>54</v>
      </c>
      <c r="AE11" t="s">
        <v>55</v>
      </c>
      <c r="AF11" t="s">
        <v>56</v>
      </c>
      <c r="AG11" t="s">
        <v>57</v>
      </c>
    </row>
    <row r="12" spans="1:38" ht="15" x14ac:dyDescent="0.2">
      <c r="AA12" s="30" t="s">
        <v>60</v>
      </c>
      <c r="AB12">
        <v>87</v>
      </c>
      <c r="AD12" s="58">
        <f ca="1">MAX(AD3:AD6,AI3:AI6)</f>
        <v>11666.04</v>
      </c>
      <c r="AE12" s="58">
        <f ca="1">MAX(AE3:AE6,AJ3:AJ6)</f>
        <v>41.0246</v>
      </c>
      <c r="AF12" s="58">
        <f ca="1">MAX(AF3:AF6,AK3:AK6)</f>
        <v>42.067</v>
      </c>
      <c r="AG12" s="58">
        <f ca="1">MAX(AG3:AG6,AL3:AL6)</f>
        <v>42.757800000000003</v>
      </c>
    </row>
    <row r="13" spans="1:38" ht="15" x14ac:dyDescent="0.2">
      <c r="AA13" s="30" t="s">
        <v>8</v>
      </c>
      <c r="AB13">
        <v>19</v>
      </c>
      <c r="AD13" s="58">
        <f ca="1">MIN(AD3:AD6,AI3:AI6)</f>
        <v>2142.84</v>
      </c>
      <c r="AE13" s="58">
        <f ca="1">MIN(AE3:AE6,AJ3:AJ6)</f>
        <v>29.133800000000001</v>
      </c>
      <c r="AF13" s="58">
        <f ca="1">MIN(AF3:AF6,AK3:AK6)</f>
        <v>34.945399999999999</v>
      </c>
      <c r="AG13" s="58">
        <f ca="1">MIN(AG3:AG6,AL3:AL6)</f>
        <v>35.378500000000003</v>
      </c>
    </row>
    <row r="14" spans="1:38" ht="15" x14ac:dyDescent="0.2">
      <c r="AA14" s="30" t="s">
        <v>0</v>
      </c>
      <c r="AB14">
        <v>11</v>
      </c>
      <c r="AD14" s="59"/>
      <c r="AE14" s="59"/>
      <c r="AF14" s="59"/>
      <c r="AG14" s="59"/>
    </row>
    <row r="15" spans="1:38" ht="15" x14ac:dyDescent="0.2">
      <c r="AA15" s="30" t="s">
        <v>10</v>
      </c>
      <c r="AB15">
        <v>23</v>
      </c>
      <c r="AD15" s="59">
        <f ca="1">POWER(10,CEILING(LOG(AD12+1),1))</f>
        <v>100000</v>
      </c>
      <c r="AE15" s="60">
        <f ca="1">CEILING(AE12+0.25,0.5)</f>
        <v>41.5</v>
      </c>
      <c r="AF15" s="60">
        <f ca="1">CEILING(AF12+0.25,0.5)</f>
        <v>42.5</v>
      </c>
      <c r="AG15" s="60">
        <f ca="1">CEILING(AG12+0.25,0.5)</f>
        <v>43.5</v>
      </c>
    </row>
    <row r="16" spans="1:38" ht="15" x14ac:dyDescent="0.2">
      <c r="AA16" s="30" t="s">
        <v>18</v>
      </c>
      <c r="AB16">
        <v>47</v>
      </c>
      <c r="AD16" s="59">
        <f ca="1">POWER(10,FLOOR(LOG(AD13+10),1))</f>
        <v>1000</v>
      </c>
      <c r="AE16" s="60">
        <f ca="1">FLOOR(AE13-0.25,0.5)</f>
        <v>28.5</v>
      </c>
      <c r="AF16" s="60">
        <f ca="1">FLOOR(AF13-0.25,0.5)</f>
        <v>34.5</v>
      </c>
      <c r="AG16" s="60">
        <f ca="1">FLOOR(AG13-0.25,0.5)</f>
        <v>35</v>
      </c>
    </row>
    <row r="17" spans="27:28" ht="15" x14ac:dyDescent="0.2">
      <c r="AA17" s="30" t="s">
        <v>5</v>
      </c>
      <c r="AB17">
        <v>7</v>
      </c>
    </row>
    <row r="18" spans="27:28" ht="15" x14ac:dyDescent="0.2">
      <c r="AA18" s="30" t="s">
        <v>53</v>
      </c>
      <c r="AB18">
        <v>51</v>
      </c>
    </row>
    <row r="19" spans="27:28" ht="15" x14ac:dyDescent="0.2">
      <c r="AA19" s="30" t="s">
        <v>19</v>
      </c>
      <c r="AB19">
        <v>67</v>
      </c>
    </row>
    <row r="20" spans="27:28" ht="15" x14ac:dyDescent="0.2">
      <c r="AA20" s="30" t="s">
        <v>61</v>
      </c>
      <c r="AB20">
        <v>91</v>
      </c>
    </row>
    <row r="21" spans="27:28" ht="15" x14ac:dyDescent="0.2">
      <c r="AA21" s="30" t="s">
        <v>62</v>
      </c>
      <c r="AB21">
        <v>95</v>
      </c>
    </row>
    <row r="22" spans="27:28" ht="15" x14ac:dyDescent="0.2">
      <c r="AA22" s="30" t="s">
        <v>6</v>
      </c>
      <c r="AB22">
        <v>15</v>
      </c>
    </row>
    <row r="23" spans="27:28" ht="15" x14ac:dyDescent="0.2">
      <c r="AA23" s="30" t="s">
        <v>3</v>
      </c>
      <c r="AB23">
        <v>3</v>
      </c>
    </row>
    <row r="24" spans="27:28" ht="15" x14ac:dyDescent="0.2">
      <c r="AA24" s="30" t="s">
        <v>81</v>
      </c>
      <c r="AB24">
        <v>71</v>
      </c>
    </row>
    <row r="25" spans="27:28" ht="15" x14ac:dyDescent="0.2">
      <c r="AA25" s="30" t="s">
        <v>82</v>
      </c>
      <c r="AB25">
        <v>75</v>
      </c>
    </row>
    <row r="26" spans="27:28" ht="15" x14ac:dyDescent="0.2">
      <c r="AA26" s="30" t="s">
        <v>83</v>
      </c>
      <c r="AB26">
        <v>79</v>
      </c>
    </row>
    <row r="27" spans="27:28" ht="15" x14ac:dyDescent="0.2">
      <c r="AA27" s="30"/>
    </row>
    <row r="28" spans="27:28" ht="15" x14ac:dyDescent="0.2">
      <c r="AA28" s="30"/>
    </row>
    <row r="29" spans="27:28" ht="15" x14ac:dyDescent="0.2">
      <c r="AA29" s="30"/>
    </row>
    <row r="30" spans="27:28" ht="15" x14ac:dyDescent="0.2">
      <c r="AA30" s="30"/>
    </row>
    <row r="31" spans="27:28" ht="15" x14ac:dyDescent="0.2">
      <c r="AA31" s="30"/>
    </row>
    <row r="32" spans="27:28" ht="15" x14ac:dyDescent="0.2">
      <c r="AA32" s="30"/>
    </row>
    <row r="33" spans="27:27" ht="15" x14ac:dyDescent="0.2">
      <c r="AA33" s="30"/>
    </row>
    <row r="34" spans="27:27" ht="15" x14ac:dyDescent="0.2">
      <c r="AA34" s="30"/>
    </row>
    <row r="35" spans="27:27" ht="15" x14ac:dyDescent="0.2">
      <c r="AA35" s="30"/>
    </row>
    <row r="36" spans="27:27" ht="15" x14ac:dyDescent="0.2">
      <c r="AA36" s="30"/>
    </row>
    <row r="37" spans="27:27" ht="15" x14ac:dyDescent="0.2">
      <c r="AA37" s="30"/>
    </row>
    <row r="38" spans="27:27" ht="15" x14ac:dyDescent="0.2">
      <c r="AA38" s="30"/>
    </row>
    <row r="39" spans="27:27" ht="15" x14ac:dyDescent="0.2">
      <c r="AA39" s="30"/>
    </row>
    <row r="40" spans="27:27" ht="15" x14ac:dyDescent="0.2">
      <c r="AA40" s="30"/>
    </row>
    <row r="41" spans="27:27" ht="15" x14ac:dyDescent="0.2">
      <c r="AA41" s="30"/>
    </row>
    <row r="42" spans="27:27" ht="15" x14ac:dyDescent="0.2">
      <c r="AA42" s="30"/>
    </row>
    <row r="43" spans="27:27" ht="15" x14ac:dyDescent="0.2">
      <c r="AA43" s="30"/>
    </row>
    <row r="44" spans="27:27" ht="15" x14ac:dyDescent="0.2">
      <c r="AA44" s="30"/>
    </row>
    <row r="45" spans="27:27" ht="15" x14ac:dyDescent="0.2">
      <c r="AA45" s="30"/>
    </row>
    <row r="46" spans="27:27" ht="15" x14ac:dyDescent="0.2">
      <c r="AA46" s="30"/>
    </row>
    <row r="47" spans="27:27" ht="15" x14ac:dyDescent="0.2">
      <c r="AA47" s="30"/>
    </row>
    <row r="48" spans="27:27" ht="15" x14ac:dyDescent="0.2">
      <c r="AA48" s="30"/>
    </row>
    <row r="49" spans="27:27" ht="15" x14ac:dyDescent="0.2">
      <c r="AA49" s="30"/>
    </row>
    <row r="50" spans="27:27" ht="15" x14ac:dyDescent="0.2">
      <c r="AA50" s="30"/>
    </row>
    <row r="51" spans="27:27" ht="15" x14ac:dyDescent="0.2">
      <c r="AA51" s="30"/>
    </row>
    <row r="52" spans="27:27" ht="15" x14ac:dyDescent="0.2">
      <c r="AA52" s="30"/>
    </row>
    <row r="53" spans="27:27" ht="15" x14ac:dyDescent="0.2">
      <c r="AA53" s="30"/>
    </row>
    <row r="54" spans="27:27" ht="15" x14ac:dyDescent="0.2">
      <c r="AA54" s="30"/>
    </row>
    <row r="55" spans="27:27" ht="15" x14ac:dyDescent="0.2">
      <c r="AA55" s="30"/>
    </row>
    <row r="56" spans="27:27" ht="15" x14ac:dyDescent="0.2">
      <c r="AA56" s="30"/>
    </row>
    <row r="57" spans="27:27" ht="15" x14ac:dyDescent="0.2">
      <c r="AA57" s="30"/>
    </row>
    <row r="58" spans="27:27" ht="15" x14ac:dyDescent="0.2">
      <c r="AA58" s="30"/>
    </row>
    <row r="59" spans="27:27" ht="15" x14ac:dyDescent="0.2">
      <c r="AA59" s="30"/>
    </row>
    <row r="60" spans="27:27" ht="15" x14ac:dyDescent="0.2">
      <c r="AA60" s="30"/>
    </row>
    <row r="61" spans="27:27" ht="15" x14ac:dyDescent="0.2">
      <c r="AA61" s="30"/>
    </row>
    <row r="62" spans="27:27" ht="15" x14ac:dyDescent="0.2">
      <c r="AA62" s="30"/>
    </row>
    <row r="63" spans="27:27" ht="15" x14ac:dyDescent="0.2">
      <c r="AA63" s="30"/>
    </row>
    <row r="64" spans="27:27" ht="15" x14ac:dyDescent="0.2">
      <c r="AA64" s="30"/>
    </row>
    <row r="65" spans="27:27" ht="15" x14ac:dyDescent="0.2">
      <c r="AA65" s="30"/>
    </row>
    <row r="66" spans="27:27" ht="15" x14ac:dyDescent="0.2">
      <c r="AA66" s="30"/>
    </row>
    <row r="67" spans="27:27" ht="15" x14ac:dyDescent="0.2">
      <c r="AA67" s="30"/>
    </row>
    <row r="68" spans="27:27" ht="15" x14ac:dyDescent="0.2">
      <c r="AA68" s="30"/>
    </row>
    <row r="69" spans="27:27" ht="15" x14ac:dyDescent="0.2">
      <c r="AA69" s="30"/>
    </row>
    <row r="70" spans="27:27" ht="15" x14ac:dyDescent="0.2">
      <c r="AA70" s="30"/>
    </row>
    <row r="71" spans="27:27" ht="15" x14ac:dyDescent="0.2">
      <c r="AA71" s="30"/>
    </row>
    <row r="72" spans="27:27" ht="15" x14ac:dyDescent="0.2">
      <c r="AA72" s="30"/>
    </row>
    <row r="73" spans="27:27" ht="15" x14ac:dyDescent="0.2">
      <c r="AA73" s="30"/>
    </row>
    <row r="74" spans="27:27" ht="15" x14ac:dyDescent="0.2">
      <c r="AA74" s="30"/>
    </row>
    <row r="75" spans="27:27" ht="15" x14ac:dyDescent="0.2">
      <c r="AA75" s="30"/>
    </row>
    <row r="76" spans="27:27" ht="15" x14ac:dyDescent="0.2">
      <c r="AA76" s="30"/>
    </row>
    <row r="77" spans="27:27" ht="15" x14ac:dyDescent="0.2">
      <c r="AA77" s="30"/>
    </row>
    <row r="78" spans="27:27" ht="15" x14ac:dyDescent="0.2">
      <c r="AA78" s="30"/>
    </row>
    <row r="79" spans="27:27" ht="15" x14ac:dyDescent="0.2">
      <c r="AA79" s="30"/>
    </row>
    <row r="80" spans="27:27" ht="15" x14ac:dyDescent="0.2">
      <c r="AA80" s="30"/>
    </row>
    <row r="81" spans="27:27" ht="15" x14ac:dyDescent="0.2">
      <c r="AA81" s="30"/>
    </row>
    <row r="82" spans="27:27" ht="15" x14ac:dyDescent="0.2">
      <c r="AA82" s="30"/>
    </row>
    <row r="83" spans="27:27" ht="15" x14ac:dyDescent="0.2">
      <c r="AA83" s="30"/>
    </row>
    <row r="84" spans="27:27" ht="15" x14ac:dyDescent="0.2">
      <c r="AA84" s="30"/>
    </row>
    <row r="85" spans="27:27" ht="15" x14ac:dyDescent="0.2">
      <c r="AA85" s="30"/>
    </row>
    <row r="86" spans="27:27" ht="15" x14ac:dyDescent="0.2">
      <c r="AA86" s="30"/>
    </row>
  </sheetData>
  <phoneticPr fontId="1" type="noConversion"/>
  <dataValidations count="2">
    <dataValidation type="list" allowBlank="1" showInputMessage="1" showErrorMessage="1" sqref="A2">
      <formula1>$Z$3:$Z$14</formula1>
    </dataValidation>
    <dataValidation type="list" allowBlank="1" showInputMessage="1" showErrorMessage="1" sqref="B2">
      <formula1>$AA$3:$AA$26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Summary (A-E)</vt:lpstr>
      <vt:lpstr>Summary (Full)</vt:lpstr>
      <vt:lpstr>AI-Main</vt:lpstr>
      <vt:lpstr>RA-Main</vt:lpstr>
      <vt:lpstr>LB-Main</vt:lpstr>
      <vt:lpstr>LP-Main</vt:lpstr>
      <vt:lpstr>AI-HE10</vt:lpstr>
      <vt:lpstr>RA-HE10</vt:lpstr>
      <vt:lpstr>LB-HE10</vt:lpstr>
      <vt:lpstr>LP-HE10</vt:lpstr>
      <vt:lpstr>Plot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2012-04-03T08:23:39Z</dcterms:created>
  <dcterms:modified xsi:type="dcterms:W3CDTF">2018-05-31T05:07:51Z</dcterms:modified>
</cp:coreProperties>
</file>